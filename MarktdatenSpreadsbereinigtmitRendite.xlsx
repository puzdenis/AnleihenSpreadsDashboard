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P\Mitarbeiter\Puzikov\Marktkonformitätsthemen\"/>
    </mc:Choice>
  </mc:AlternateContent>
  <xr:revisionPtr revIDLastSave="0" documentId="13_ncr:1_{9B3E9A02-D947-4E96-9001-C99EC3C1BBE8}" xr6:coauthVersionLast="47" xr6:coauthVersionMax="47" xr10:uidLastSave="{00000000-0000-0000-0000-000000000000}"/>
  <bookViews>
    <workbookView xWindow="2280" yWindow="1095" windowWidth="24120" windowHeight="19005" xr2:uid="{7937215E-F633-460D-8B93-4710B95D3B60}"/>
  </bookViews>
  <sheets>
    <sheet name="Tabelle1" sheetId="1" r:id="rId1"/>
  </sheets>
  <definedNames>
    <definedName name="_xlnm._FilterDatabase" localSheetId="0" hidden="1">Tabelle1!$A$1:$O$268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4" i="1" l="1"/>
  <c r="O31" i="1" l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2" i="1"/>
</calcChain>
</file>

<file path=xl/sharedStrings.xml><?xml version="1.0" encoding="utf-8"?>
<sst xmlns="http://schemas.openxmlformats.org/spreadsheetml/2006/main" count="2186" uniqueCount="598">
  <si>
    <t>Emittent</t>
  </si>
  <si>
    <t>ISIN</t>
  </si>
  <si>
    <t>Pfandbriefart</t>
  </si>
  <si>
    <t>CLASSIFICATION_LEVEL_4_NAME</t>
  </si>
  <si>
    <t>Emissionsdatum</t>
  </si>
  <si>
    <t>Fälligkeit</t>
  </si>
  <si>
    <t>AssetSwapSpreadMid</t>
  </si>
  <si>
    <t>Volumen</t>
  </si>
  <si>
    <t>Kupon</t>
  </si>
  <si>
    <t>DEFREFZS_REFRATE</t>
  </si>
  <si>
    <t>REFZS_PRICEDATE</t>
  </si>
  <si>
    <t>UNICREDIT BANK GMBH</t>
  </si>
  <si>
    <t>DE000HV2AZC4</t>
  </si>
  <si>
    <t>HypPfe</t>
  </si>
  <si>
    <t>Pfandbriefe Traditionelle Hypotheken</t>
  </si>
  <si>
    <t>13.07.2026</t>
  </si>
  <si>
    <t>DEUR03H03Y</t>
  </si>
  <si>
    <t>DEUR03H04Y</t>
  </si>
  <si>
    <t>Pfandbriefe Jumbo Hypotheken</t>
  </si>
  <si>
    <t>REFZS_SPREAD_SCD</t>
  </si>
  <si>
    <t xml:space="preserve"> 3Y-HYPO Median</t>
  </si>
  <si>
    <t xml:space="preserve"> 4Y-HYPO Median</t>
  </si>
  <si>
    <t>BERLIN HYP AG</t>
  </si>
  <si>
    <t>DE000BHY0GY7</t>
  </si>
  <si>
    <t>07.05.2027</t>
  </si>
  <si>
    <t>COMMERZBANK AG</t>
  </si>
  <si>
    <t>DE000CZ45ZK9</t>
  </si>
  <si>
    <t>OePfe</t>
  </si>
  <si>
    <t>Pfandbriefe Traditionelle Öffentliche</t>
  </si>
  <si>
    <t>25.02.2028</t>
  </si>
  <si>
    <t>DEUR03K03Y</t>
  </si>
  <si>
    <t>3Y-KOMMUNAL Median</t>
  </si>
  <si>
    <t>DE000CZ439N1</t>
  </si>
  <si>
    <t>Pfandbriefe Jumbo Öffentliche</t>
  </si>
  <si>
    <t>11.01.2027</t>
  </si>
  <si>
    <t>DEUT PFANDBRIEFBANK AG</t>
  </si>
  <si>
    <t>DE000A31RJ45</t>
  </si>
  <si>
    <t>15.01.2027</t>
  </si>
  <si>
    <t>DE000A31RJS7</t>
  </si>
  <si>
    <t>13.10.2026</t>
  </si>
  <si>
    <t>DE000A382632</t>
  </si>
  <si>
    <t>24.01.2028</t>
  </si>
  <si>
    <t>DEUTSCHE BANK AG</t>
  </si>
  <si>
    <t>DE000A351NR4</t>
  </si>
  <si>
    <t>19.10.2026</t>
  </si>
  <si>
    <t>LB BADEN-WUERTTEMBERG</t>
  </si>
  <si>
    <t>DE000LB39DP0</t>
  </si>
  <si>
    <t>26.04.2027</t>
  </si>
  <si>
    <t>DE000LB4W4W5</t>
  </si>
  <si>
    <t>12.11.2027</t>
  </si>
  <si>
    <t>MUENCHENER HYPOTHEKENBNK</t>
  </si>
  <si>
    <t>DE000MHB36J8</t>
  </si>
  <si>
    <t>28.08.2026</t>
  </si>
  <si>
    <t>NORDDEUTSCHE LANDESBANK</t>
  </si>
  <si>
    <t>DE000NLB40F8</t>
  </si>
  <si>
    <t>14.05.2027</t>
  </si>
  <si>
    <t>AAREAL BANK AG</t>
  </si>
  <si>
    <t>DE000AAR0405</t>
  </si>
  <si>
    <t>10.05.2028</t>
  </si>
  <si>
    <t>BAYERISCHE LANDESBANK</t>
  </si>
  <si>
    <t>DE000BLB6J02</t>
  </si>
  <si>
    <t>DE000BHY3ND1</t>
  </si>
  <si>
    <t>05.02.2029</t>
  </si>
  <si>
    <t>DE000A382640</t>
  </si>
  <si>
    <t>30.05.2029</t>
  </si>
  <si>
    <t>DE000A30WF27</t>
  </si>
  <si>
    <t>25.01.2027</t>
  </si>
  <si>
    <t>DE000A31RJZ2</t>
  </si>
  <si>
    <t>28.10.2027</t>
  </si>
  <si>
    <t>DE000A30VG92</t>
  </si>
  <si>
    <t>18.01.2027</t>
  </si>
  <si>
    <t>HAMBURG COMMERCIAL BANK</t>
  </si>
  <si>
    <t>DE000HCB0BP2</t>
  </si>
  <si>
    <t>01.07.2026</t>
  </si>
  <si>
    <t>ING-DIBA AG</t>
  </si>
  <si>
    <t>DE000A2YNWC7</t>
  </si>
  <si>
    <t>15.02.2028</t>
  </si>
  <si>
    <t>LANDBK HESSEN-THUERINGEN</t>
  </si>
  <si>
    <t>XS3074424188</t>
  </si>
  <si>
    <t>21.05.2029</t>
  </si>
  <si>
    <t>XS2673929944</t>
  </si>
  <si>
    <t>20.01.2028</t>
  </si>
  <si>
    <t>XS2711420054</t>
  </si>
  <si>
    <t>31.08.2027</t>
  </si>
  <si>
    <t>DE000LB387B4</t>
  </si>
  <si>
    <t>27.09.2027</t>
  </si>
  <si>
    <t>DE000LB38077</t>
  </si>
  <si>
    <t>26.02.2027</t>
  </si>
  <si>
    <t>DEUR03K04Y</t>
  </si>
  <si>
    <t>4Y-KOMMUNAL Median</t>
  </si>
  <si>
    <t>DE000LB386A8</t>
  </si>
  <si>
    <t>04.11.2026</t>
  </si>
  <si>
    <t>DE000LB4W514</t>
  </si>
  <si>
    <t>31.10.2028</t>
  </si>
  <si>
    <t>DE000NLB4621</t>
  </si>
  <si>
    <t>24.07.2028</t>
  </si>
  <si>
    <t>DE000NLB5AA6</t>
  </si>
  <si>
    <t>20.10.2028</t>
  </si>
  <si>
    <t>4-HYPO Median</t>
  </si>
  <si>
    <t>DE000AAR0348</t>
  </si>
  <si>
    <t>01.02.2027</t>
  </si>
  <si>
    <t>DEUR03K05Y</t>
  </si>
  <si>
    <t>DE000AAR0371</t>
  </si>
  <si>
    <t>11.10.2027</t>
  </si>
  <si>
    <t>DE000AAR0421</t>
  </si>
  <si>
    <t>17.05.2029</t>
  </si>
  <si>
    <t>BAUSPAR.SCHWAEBISCH HALL</t>
  </si>
  <si>
    <t>DE000A3824G4</t>
  </si>
  <si>
    <t>16.01.2029</t>
  </si>
  <si>
    <t>DE000BLB6JT9</t>
  </si>
  <si>
    <t>19.10.2027</t>
  </si>
  <si>
    <t>XS2782184902</t>
  </si>
  <si>
    <t>13.11.2028</t>
  </si>
  <si>
    <t>DE000BHY0HZ2</t>
  </si>
  <si>
    <t>24.08.2026</t>
  </si>
  <si>
    <t>DE000BHY0JW5</t>
  </si>
  <si>
    <t>25.10.2027</t>
  </si>
  <si>
    <t>DEUR03H05Y</t>
  </si>
  <si>
    <t>DE000CZ43Z72</t>
  </si>
  <si>
    <t>28.08.2028</t>
  </si>
  <si>
    <t>DE000CZ45W16</t>
  </si>
  <si>
    <t>15.03.2027</t>
  </si>
  <si>
    <t>DE000CZ45YX5</t>
  </si>
  <si>
    <t>03.09.2029</t>
  </si>
  <si>
    <t>DE000CZ45ZB8</t>
  </si>
  <si>
    <t>20.12.2029</t>
  </si>
  <si>
    <t>DE000CZ45ZW4</t>
  </si>
  <si>
    <t>Hypothek Nicht Pfandbriefe</t>
  </si>
  <si>
    <t>17.09.2030</t>
  </si>
  <si>
    <t>DE000A3E5K73</t>
  </si>
  <si>
    <t>25.08.2026</t>
  </si>
  <si>
    <t>DE000A30V2V0</t>
  </si>
  <si>
    <t>28.03.2028</t>
  </si>
  <si>
    <t>DE000A30VPC2</t>
  </si>
  <si>
    <t>20.09.2027</t>
  </si>
  <si>
    <t>DE000A352BT3</t>
  </si>
  <si>
    <t>13.03.2029</t>
  </si>
  <si>
    <t>DE000HCB0BH9</t>
  </si>
  <si>
    <t>19.01.2027</t>
  </si>
  <si>
    <t>DE000HCB0BN7</t>
  </si>
  <si>
    <t>20.07.2027</t>
  </si>
  <si>
    <t>DE000HCB0BV0</t>
  </si>
  <si>
    <t>01.02.2028</t>
  </si>
  <si>
    <t>HAMBURGER SPARKASSE</t>
  </si>
  <si>
    <t>DE000A351M80</t>
  </si>
  <si>
    <t>15.09.2028</t>
  </si>
  <si>
    <t>DE000A3MQYT3</t>
  </si>
  <si>
    <t>30.03.2027</t>
  </si>
  <si>
    <t>DE000A2YNWE3</t>
  </si>
  <si>
    <t>09.09.2029</t>
  </si>
  <si>
    <t>XS2433126807</t>
  </si>
  <si>
    <t>19.07.2027</t>
  </si>
  <si>
    <t>DE000LB39EQ6</t>
  </si>
  <si>
    <t>13.11.2029</t>
  </si>
  <si>
    <t>5Y-KOMMUNAL Median</t>
  </si>
  <si>
    <t>5-HYPO Median</t>
  </si>
  <si>
    <t>DE000LB4W647</t>
  </si>
  <si>
    <t>20.02.2030</t>
  </si>
  <si>
    <t>LLOYDS BANK GMBH</t>
  </si>
  <si>
    <t>DE000A383G15</t>
  </si>
  <si>
    <t>10.09.2029</t>
  </si>
  <si>
    <t>DE000MHB32J7</t>
  </si>
  <si>
    <t>04.08.2027</t>
  </si>
  <si>
    <t>DE000MHB37J6</t>
  </si>
  <si>
    <t>23.11.2028</t>
  </si>
  <si>
    <t>DE000NLB3UX1</t>
  </si>
  <si>
    <t>23.09.2026</t>
  </si>
  <si>
    <t>DE000NLB3Z75</t>
  </si>
  <si>
    <t>DE000NLB5B06</t>
  </si>
  <si>
    <t>05.07.2030</t>
  </si>
  <si>
    <t>DE000HV2AYN4</t>
  </si>
  <si>
    <t>28.09.2026</t>
  </si>
  <si>
    <t>DE000HV2A0L0</t>
  </si>
  <si>
    <t>19.02.2030</t>
  </si>
  <si>
    <t>DE000HV2AYU9</t>
  </si>
  <si>
    <t>23.02.2027</t>
  </si>
  <si>
    <t>DE000HV2AYZ8</t>
  </si>
  <si>
    <t>07.06.2027</t>
  </si>
  <si>
    <t>WUESTENROT BAUSPARKASSE</t>
  </si>
  <si>
    <t>DE000WBP0BK9</t>
  </si>
  <si>
    <t>28.11.2028</t>
  </si>
  <si>
    <t>DE000A30WF68</t>
  </si>
  <si>
    <t>19.01.2029</t>
  </si>
  <si>
    <t>DEUR03H06Y</t>
  </si>
  <si>
    <t>DE000AAR0447</t>
  </si>
  <si>
    <t>10.04.2030</t>
  </si>
  <si>
    <t>DE000AAR0272</t>
  </si>
  <si>
    <t>03.08.2026</t>
  </si>
  <si>
    <t>DE000AAR0454</t>
  </si>
  <si>
    <t>05.08.2031</t>
  </si>
  <si>
    <t>DE000AAR0462</t>
  </si>
  <si>
    <t>08.10.2030</t>
  </si>
  <si>
    <t>DE000A4DFCH4</t>
  </si>
  <si>
    <t>22.01.2031</t>
  </si>
  <si>
    <t>DE000BLB6J10</t>
  </si>
  <si>
    <t>15.07.2030</t>
  </si>
  <si>
    <t>DE000BLB6JV5</t>
  </si>
  <si>
    <t>22.05.2029</t>
  </si>
  <si>
    <t>DEUR03K06Y</t>
  </si>
  <si>
    <t>6Y-KOMMUNAL Median</t>
  </si>
  <si>
    <t>5Y-HYPO Median</t>
  </si>
  <si>
    <t>6Y-HYPO Median</t>
  </si>
  <si>
    <t>DE000CZ43ZF4</t>
  </si>
  <si>
    <t>13.10.2028</t>
  </si>
  <si>
    <t>DE000CZ43ZX7</t>
  </si>
  <si>
    <t>20.04.2029</t>
  </si>
  <si>
    <t>DEUTSCHE KREDITBANK AG</t>
  </si>
  <si>
    <t>DE000DKB0531</t>
  </si>
  <si>
    <t>02.07.2030</t>
  </si>
  <si>
    <t>XS2989306506</t>
  </si>
  <si>
    <t>30.01.2031</t>
  </si>
  <si>
    <t>DE000LB2ZV93</t>
  </si>
  <si>
    <t>28.02.2028</t>
  </si>
  <si>
    <t>DE000MHB34J3</t>
  </si>
  <si>
    <t>14.08.2029</t>
  </si>
  <si>
    <t>DE000MHB40J0</t>
  </si>
  <si>
    <t>03.02.2031</t>
  </si>
  <si>
    <t>SPARKASSE PFORZHEIM CALW</t>
  </si>
  <si>
    <t>DE000A351TH2</t>
  </si>
  <si>
    <t>11.05.2029</t>
  </si>
  <si>
    <t>DE000HV2AY12</t>
  </si>
  <si>
    <t>27.04.2028</t>
  </si>
  <si>
    <t>DE000HV2A0P1</t>
  </si>
  <si>
    <t>22.11.2030</t>
  </si>
  <si>
    <t>DE000AAR0330</t>
  </si>
  <si>
    <t>01.02.2029</t>
  </si>
  <si>
    <t>DEUR03H07Y</t>
  </si>
  <si>
    <t>7Y-HYPO Median</t>
  </si>
  <si>
    <t>DE000AAR0363</t>
  </si>
  <si>
    <t>14.09.2029</t>
  </si>
  <si>
    <t>DE000AAR0306</t>
  </si>
  <si>
    <t>DE000AAR0280</t>
  </si>
  <si>
    <t>DE000A30VN02</t>
  </si>
  <si>
    <t>13.09.2029</t>
  </si>
  <si>
    <t>DE000BYL0CV6</t>
  </si>
  <si>
    <t>28.05.2032</t>
  </si>
  <si>
    <t>DEUR03K07Y</t>
  </si>
  <si>
    <t>7Y-KOMMUNAL Median</t>
  </si>
  <si>
    <t>DE000BHY0B14</t>
  </si>
  <si>
    <t>17.02.2027</t>
  </si>
  <si>
    <t>DE000BHY0GE9</t>
  </si>
  <si>
    <t>DE000BHY0GT7</t>
  </si>
  <si>
    <t>24.05.2030</t>
  </si>
  <si>
    <t>DE000BHY0JD5</t>
  </si>
  <si>
    <t>23.02.2029</t>
  </si>
  <si>
    <t>DE000BHY0SD6</t>
  </si>
  <si>
    <t>27.08.2031</t>
  </si>
  <si>
    <t>DE000CZ439P6</t>
  </si>
  <si>
    <t>09.01.2031</t>
  </si>
  <si>
    <t>DE000A30V5F6</t>
  </si>
  <si>
    <t>18.07.2030</t>
  </si>
  <si>
    <t>28.02.2031</t>
  </si>
  <si>
    <t>30.04.2031</t>
  </si>
  <si>
    <t>DE000HCB0BC0</t>
  </si>
  <si>
    <t>02.11.2028</t>
  </si>
  <si>
    <t>DE000A351256</t>
  </si>
  <si>
    <t>DE000A1KRJV6</t>
  </si>
  <si>
    <t>07.10.2028</t>
  </si>
  <si>
    <t>DE000A2YNWA1</t>
  </si>
  <si>
    <t>25.02.2029</t>
  </si>
  <si>
    <t>DE000LB39AS0</t>
  </si>
  <si>
    <t>12.03.2031</t>
  </si>
  <si>
    <t>DE000LB2CQG8</t>
  </si>
  <si>
    <t>16.07.2027</t>
  </si>
  <si>
    <t>DE000LB2ZSM3</t>
  </si>
  <si>
    <t>24.07.2029</t>
  </si>
  <si>
    <t>DE000LB39DQ8</t>
  </si>
  <si>
    <t>26.09.2031</t>
  </si>
  <si>
    <t>DE000MHB29J3</t>
  </si>
  <si>
    <t>DE000MHB35J0</t>
  </si>
  <si>
    <t>14.08.2030</t>
  </si>
  <si>
    <t>DE000MHB39J2</t>
  </si>
  <si>
    <t>11.07.2031</t>
  </si>
  <si>
    <t>DE000DHY5074</t>
  </si>
  <si>
    <t>18.02.2027</t>
  </si>
  <si>
    <t>DE000NLB34Y2</t>
  </si>
  <si>
    <t>19.03.2030</t>
  </si>
  <si>
    <t>DE000NLB4Y34</t>
  </si>
  <si>
    <t>13.01.2031</t>
  </si>
  <si>
    <t>SPARKASSE HANNOVER</t>
  </si>
  <si>
    <t>DE000A383B77</t>
  </si>
  <si>
    <t>05.06.2031</t>
  </si>
  <si>
    <t>DE000A4DFHD2</t>
  </si>
  <si>
    <t>24.05.2032</t>
  </si>
  <si>
    <t>DE000A3823V5</t>
  </si>
  <si>
    <t>DE000WBP0A79</t>
  </si>
  <si>
    <t>20.10.2027</t>
  </si>
  <si>
    <t>DE000WBP0BL7</t>
  </si>
  <si>
    <t>15.10.2031</t>
  </si>
  <si>
    <t>DE000AAR0314</t>
  </si>
  <si>
    <t>01.02.2030</t>
  </si>
  <si>
    <t>DEUR03H08Y</t>
  </si>
  <si>
    <t>8Y-HYPO-Median</t>
  </si>
  <si>
    <t>DE000AAR0256</t>
  </si>
  <si>
    <t>08.07.2027</t>
  </si>
  <si>
    <t>DE000BLB6JL6</t>
  </si>
  <si>
    <t>02.11.2029</t>
  </si>
  <si>
    <t>DEUR03K08Y</t>
  </si>
  <si>
    <t>8Y-KOMMUNAL-Median</t>
  </si>
  <si>
    <t>DE000BLB6JM4</t>
  </si>
  <si>
    <t>20.05.2030</t>
  </si>
  <si>
    <t>DE000BHY0GD1</t>
  </si>
  <si>
    <t>07.07.2028</t>
  </si>
  <si>
    <t>DE000BHY0GL4</t>
  </si>
  <si>
    <t>DE000BHY0H34</t>
  </si>
  <si>
    <t>18.01.2030</t>
  </si>
  <si>
    <t>DE000BHY4US2</t>
  </si>
  <si>
    <t>19.11.2032</t>
  </si>
  <si>
    <t>DE000A2YNVY3</t>
  </si>
  <si>
    <t>21.01.2028</t>
  </si>
  <si>
    <t>DE000A254YU1</t>
  </si>
  <si>
    <t>11.02.2028</t>
  </si>
  <si>
    <t>DE000A1KRJT0</t>
  </si>
  <si>
    <t>23.05.2027</t>
  </si>
  <si>
    <t>DE000A2YNWB9</t>
  </si>
  <si>
    <t>13.09.2030</t>
  </si>
  <si>
    <t>DE000MHB30J1</t>
  </si>
  <si>
    <t>14.02.2030</t>
  </si>
  <si>
    <t>DE000DHY4960</t>
  </si>
  <si>
    <t>29.06.2026</t>
  </si>
  <si>
    <t>OLDENBURGISCHE LANDESBK</t>
  </si>
  <si>
    <t>DE000A11QJS1</t>
  </si>
  <si>
    <t>29.01.2032</t>
  </si>
  <si>
    <t>DE000HV2ATM6</t>
  </si>
  <si>
    <t>DE000HV2AYJ2</t>
  </si>
  <si>
    <t>DE000WBP0BB8</t>
  </si>
  <si>
    <t>19.10.2029</t>
  </si>
  <si>
    <t>DE000A30V8H6</t>
  </si>
  <si>
    <t>24.06.2032</t>
  </si>
  <si>
    <t>DEUR03H09Y</t>
  </si>
  <si>
    <t>9Y-HYPO-Median</t>
  </si>
  <si>
    <t>DE000BLB6JE1</t>
  </si>
  <si>
    <t>DEUR03K09Y</t>
  </si>
  <si>
    <t>9Y-KOMMUNAL-Median</t>
  </si>
  <si>
    <t>DE000BLB6JQ5</t>
  </si>
  <si>
    <t>01.09.2031</t>
  </si>
  <si>
    <t>DE000CZ45VF8</t>
  </si>
  <si>
    <t>09.05.2029</t>
  </si>
  <si>
    <t>DEUT APOTHEKE AERZTEBANK</t>
  </si>
  <si>
    <t>XS2113737097</t>
  </si>
  <si>
    <t>06.02.2029</t>
  </si>
  <si>
    <t>DE000A2GSLV6</t>
  </si>
  <si>
    <t>30.08.2027</t>
  </si>
  <si>
    <t>DE000LB2CMY0</t>
  </si>
  <si>
    <t>18.09.2028</t>
  </si>
  <si>
    <t>DE000MHB19J4</t>
  </si>
  <si>
    <t>23.10.2026</t>
  </si>
  <si>
    <t>DE000MHB20J2</t>
  </si>
  <si>
    <t>10.11.2027</t>
  </si>
  <si>
    <t>DE000A383JG8</t>
  </si>
  <si>
    <t>16.11.2033</t>
  </si>
  <si>
    <t>DEUR03H10Y</t>
  </si>
  <si>
    <t>10Y-HYPO-Median</t>
  </si>
  <si>
    <t>DE000A3H24G6</t>
  </si>
  <si>
    <t>22.10.2030</t>
  </si>
  <si>
    <t>DE000A3MP6H1</t>
  </si>
  <si>
    <t>28.10.2031</t>
  </si>
  <si>
    <t>DE000BLB6JC5</t>
  </si>
  <si>
    <t>19.01.2028</t>
  </si>
  <si>
    <t>10Y-KOMMUNAL-Median</t>
  </si>
  <si>
    <t>DE000BLB6JK8</t>
  </si>
  <si>
    <t>DE000BLB6JP7</t>
  </si>
  <si>
    <t>28.06.2032</t>
  </si>
  <si>
    <t>DEUR03K10Y</t>
  </si>
  <si>
    <t>DE000BLB6JR3</t>
  </si>
  <si>
    <t>12.01.2033</t>
  </si>
  <si>
    <t>DE000BHY0BQ4</t>
  </si>
  <si>
    <t>29.05.2029</t>
  </si>
  <si>
    <t>DE000BHY0C47</t>
  </si>
  <si>
    <t>27.01.2031</t>
  </si>
  <si>
    <t>DE000BHY0GM2</t>
  </si>
  <si>
    <t>10.01.2033</t>
  </si>
  <si>
    <t>DE000BHY0GX9</t>
  </si>
  <si>
    <t>02.09.2030</t>
  </si>
  <si>
    <t>DE000BHY0SB0</t>
  </si>
  <si>
    <t>10.05.2032</t>
  </si>
  <si>
    <t>DE000CZ45YB1</t>
  </si>
  <si>
    <t>13.03.2034</t>
  </si>
  <si>
    <t>XS1852086211</t>
  </si>
  <si>
    <t>05.07.2028</t>
  </si>
  <si>
    <t>XS1693853944</t>
  </si>
  <si>
    <t>05.10.2027</t>
  </si>
  <si>
    <t>XS2079126467</t>
  </si>
  <si>
    <t>DE000CZ45ZL7</t>
  </si>
  <si>
    <t>27.02.2035</t>
  </si>
  <si>
    <t>DE000CZ45WY7</t>
  </si>
  <si>
    <t>12.01.2032</t>
  </si>
  <si>
    <t>DE000CZ45W99</t>
  </si>
  <si>
    <t>01.09.2032</t>
  </si>
  <si>
    <t>DE000CZ45VS1</t>
  </si>
  <si>
    <t>11.03.2030</t>
  </si>
  <si>
    <t>DE000CZ43Z23</t>
  </si>
  <si>
    <t>13.06.2033</t>
  </si>
  <si>
    <t>DE000CZ40MQ5</t>
  </si>
  <si>
    <t>18.04.2028</t>
  </si>
  <si>
    <t>DE000CZ40MB7</t>
  </si>
  <si>
    <t>24.08.2027</t>
  </si>
  <si>
    <t>DE000CZ40LQ7</t>
  </si>
  <si>
    <t>15.12.2026</t>
  </si>
  <si>
    <t>DE000DL19UW8</t>
  </si>
  <si>
    <t>02.10.2029</t>
  </si>
  <si>
    <t>DE000DL19U31</t>
  </si>
  <si>
    <t>21.01.2030</t>
  </si>
  <si>
    <t>DE000A351TP5</t>
  </si>
  <si>
    <t>19.05.2033</t>
  </si>
  <si>
    <t>DE000A30VPD0</t>
  </si>
  <si>
    <t>20.09.2032</t>
  </si>
  <si>
    <t>DE000SCB0005</t>
  </si>
  <si>
    <t>02.10.2028</t>
  </si>
  <si>
    <t>DE000SCB0021</t>
  </si>
  <si>
    <t>07.11.2029</t>
  </si>
  <si>
    <t>DE000SCB0039</t>
  </si>
  <si>
    <t>05.05.2032</t>
  </si>
  <si>
    <t>DE000SCB0062</t>
  </si>
  <si>
    <t>02.10.2034</t>
  </si>
  <si>
    <t>DE000A1KRJQ6</t>
  </si>
  <si>
    <t>16.11.2026</t>
  </si>
  <si>
    <t>XS1548773982</t>
  </si>
  <si>
    <t>12.01.2027</t>
  </si>
  <si>
    <t>XS1793273092</t>
  </si>
  <si>
    <t>20.03.2028</t>
  </si>
  <si>
    <t>XS2056484889</t>
  </si>
  <si>
    <t>26.09.2029</t>
  </si>
  <si>
    <t>XS2106579670</t>
  </si>
  <si>
    <t>22.01.2030</t>
  </si>
  <si>
    <t>XS2760109053</t>
  </si>
  <si>
    <t>06.02.2034</t>
  </si>
  <si>
    <t>DE000LB387C2</t>
  </si>
  <si>
    <t>27.06.2033</t>
  </si>
  <si>
    <t>DE000LB39BP4</t>
  </si>
  <si>
    <t>16.02.2034</t>
  </si>
  <si>
    <t>DE000LB4W9X2</t>
  </si>
  <si>
    <t>25.05.2035</t>
  </si>
  <si>
    <t>LB SAAR GIROZENTRALE</t>
  </si>
  <si>
    <t>DE000SLB4360</t>
  </si>
  <si>
    <t>17.01.2034</t>
  </si>
  <si>
    <t>DE000MHB41J8</t>
  </si>
  <si>
    <t>06.03.2035</t>
  </si>
  <si>
    <t>DE000MHB38J4</t>
  </si>
  <si>
    <t>01.02.2034</t>
  </si>
  <si>
    <t>DE000MHB31J9</t>
  </si>
  <si>
    <t>25.08.2032</t>
  </si>
  <si>
    <t>DE000MHB18J6</t>
  </si>
  <si>
    <t>DE000NLB2TD7</t>
  </si>
  <si>
    <t>18.01.2028</t>
  </si>
  <si>
    <t>DE000NLB85X6</t>
  </si>
  <si>
    <t>28.10.2026</t>
  </si>
  <si>
    <t>DE000NLB8739</t>
  </si>
  <si>
    <t>DE000A383DB2</t>
  </si>
  <si>
    <t>02.06.2035</t>
  </si>
  <si>
    <t>SANTANDER CONSUMER BANK</t>
  </si>
  <si>
    <t>XS2114143758</t>
  </si>
  <si>
    <t>DE000HV2ARM0</t>
  </si>
  <si>
    <t>11.01.2029</t>
  </si>
  <si>
    <t>DE000HV2AYA1</t>
  </si>
  <si>
    <t>24.06.2030</t>
  </si>
  <si>
    <t>DE000HV2AYD5</t>
  </si>
  <si>
    <t>10.03.2031</t>
  </si>
  <si>
    <t>DE000HV2AYS3</t>
  </si>
  <si>
    <t>17.01.2033</t>
  </si>
  <si>
    <t>DEUR03H11Y</t>
  </si>
  <si>
    <t>11Y-HYPO-Median</t>
  </si>
  <si>
    <t>DE000A30VH59</t>
  </si>
  <si>
    <t>17.05.2034</t>
  </si>
  <si>
    <t>DEUR03H12Y</t>
  </si>
  <si>
    <t>12Y-HYPO-Median</t>
  </si>
  <si>
    <t>DE000A3E5S18</t>
  </si>
  <si>
    <t>27.04.2033</t>
  </si>
  <si>
    <t>DE000BHY0HW9</t>
  </si>
  <si>
    <t>DE000DL19S68</t>
  </si>
  <si>
    <t>31.08.2028</t>
  </si>
  <si>
    <t>DE000DKB0432</t>
  </si>
  <si>
    <t>19.03.2027</t>
  </si>
  <si>
    <t>DE000SCB0047</t>
  </si>
  <si>
    <t>31.01.2035</t>
  </si>
  <si>
    <t>DE000SCB0054</t>
  </si>
  <si>
    <t>21.03.2036</t>
  </si>
  <si>
    <t>DE000HV2AS10</t>
  </si>
  <si>
    <t>15.01.2032</t>
  </si>
  <si>
    <t>DE000CZ40NP5</t>
  </si>
  <si>
    <t>09.01.2034</t>
  </si>
  <si>
    <t>DEUR03H15Y</t>
  </si>
  <si>
    <t>15Y-HYPO-Median</t>
  </si>
  <si>
    <t>DE000A1R06C5</t>
  </si>
  <si>
    <t>29.05.2028</t>
  </si>
  <si>
    <t>DEUR03K15Y</t>
  </si>
  <si>
    <t>15Y-KOMMUNAL-Median</t>
  </si>
  <si>
    <t>DE000DL19WV6</t>
  </si>
  <si>
    <t>30.06.2037</t>
  </si>
  <si>
    <t>DE000SCB0070</t>
  </si>
  <si>
    <t>24.02.2040</t>
  </si>
  <si>
    <t>DE000A1KRJS2</t>
  </si>
  <si>
    <t>09.10.2033</t>
  </si>
  <si>
    <t>XS2433240764</t>
  </si>
  <si>
    <t>19.01.2037</t>
  </si>
  <si>
    <t>DE000MHB10J3</t>
  </si>
  <si>
    <t>04.07.2028</t>
  </si>
  <si>
    <t>DE000MHB25J1</t>
  </si>
  <si>
    <t>05.09.2035</t>
  </si>
  <si>
    <t>DE000MHB28J5</t>
  </si>
  <si>
    <t>02.05.2036</t>
  </si>
  <si>
    <t>DE000HV2ASK2</t>
  </si>
  <si>
    <t>22.05.2034</t>
  </si>
  <si>
    <t>DE000HV2AX54</t>
  </si>
  <si>
    <t>21.01.2036</t>
  </si>
  <si>
    <t>DE000A13SWG1</t>
  </si>
  <si>
    <t>20.04.2035</t>
  </si>
  <si>
    <t>DEUR03H19Y</t>
  </si>
  <si>
    <t>19Y-KOMMUNAL-Median</t>
  </si>
  <si>
    <t>DEUR03K19Y</t>
  </si>
  <si>
    <t>DE000MHB27J7</t>
  </si>
  <si>
    <t>19.10.2039</t>
  </si>
  <si>
    <t>19Y-HYPO-Median</t>
  </si>
  <si>
    <t>DE000DKB0564</t>
  </si>
  <si>
    <t>12.06.2045</t>
  </si>
  <si>
    <t>DEUR03H20Y</t>
  </si>
  <si>
    <t>DEUR03K20Y</t>
  </si>
  <si>
    <t>20Y-KOMMUNAL-Median</t>
  </si>
  <si>
    <t>DE000A1KRJU8</t>
  </si>
  <si>
    <t>23.05.2039</t>
  </si>
  <si>
    <t>20Y-HYPO-Median</t>
  </si>
  <si>
    <t>DE000MHB22J8</t>
  </si>
  <si>
    <t>18.04.2039</t>
  </si>
  <si>
    <t>DE000MHB26J9</t>
  </si>
  <si>
    <t>02.11.2040</t>
  </si>
  <si>
    <t>Zinsart</t>
  </si>
  <si>
    <t>DZ HYP AG</t>
  </si>
  <si>
    <t>DE000A13SR38</t>
  </si>
  <si>
    <t>DE000A14J5J4</t>
  </si>
  <si>
    <t>01.04.2027</t>
  </si>
  <si>
    <t>H</t>
  </si>
  <si>
    <t>DE000A289PA7</t>
  </si>
  <si>
    <t>23.06.2028</t>
  </si>
  <si>
    <t>DE000A289PH2</t>
  </si>
  <si>
    <t>27.10.2028</t>
  </si>
  <si>
    <t>DE000A2AAW53</t>
  </si>
  <si>
    <t>30.09.2026</t>
  </si>
  <si>
    <t>DE000A2AAX45</t>
  </si>
  <si>
    <t>31.08.2026</t>
  </si>
  <si>
    <t>DE000A2BPJ86</t>
  </si>
  <si>
    <t>DE000A2G9HD6</t>
  </si>
  <si>
    <t>30.06.2027</t>
  </si>
  <si>
    <t>DE000A2G9HL9</t>
  </si>
  <si>
    <t>30.01.2029</t>
  </si>
  <si>
    <t>DE000A2GSP56</t>
  </si>
  <si>
    <t>22.03.2028</t>
  </si>
  <si>
    <t>DE000A2NB841</t>
  </si>
  <si>
    <t>17.04.2034</t>
  </si>
  <si>
    <t>DE000A2TSDV6</t>
  </si>
  <si>
    <t>29.06.2029</t>
  </si>
  <si>
    <t>DE000A2TSDW4</t>
  </si>
  <si>
    <t>DE000A2TSDY0</t>
  </si>
  <si>
    <t>DE000A2TSDZ7</t>
  </si>
  <si>
    <t>10.11.2034</t>
  </si>
  <si>
    <t>K</t>
  </si>
  <si>
    <t>DE000A351XK8</t>
  </si>
  <si>
    <t>31.01.2028</t>
  </si>
  <si>
    <t>4Y-HYPO-Median</t>
  </si>
  <si>
    <t>DE000A351XS1</t>
  </si>
  <si>
    <t>30.07.2027</t>
  </si>
  <si>
    <t>DE000A351XU7</t>
  </si>
  <si>
    <t>DE000A351XV5</t>
  </si>
  <si>
    <t>28.02.2034</t>
  </si>
  <si>
    <t>DE000A351XW3</t>
  </si>
  <si>
    <t>31.05.2032</t>
  </si>
  <si>
    <t>DE000A351XY9</t>
  </si>
  <si>
    <t>20.09.2028</t>
  </si>
  <si>
    <t>DE000A3825M9</t>
  </si>
  <si>
    <t>DE000A3825P2</t>
  </si>
  <si>
    <t>27.02.2032</t>
  </si>
  <si>
    <t>DE000A3825Q0</t>
  </si>
  <si>
    <t>31.08.2029</t>
  </si>
  <si>
    <t>DE000A3825R8</t>
  </si>
  <si>
    <t>28.02.2035</t>
  </si>
  <si>
    <t>DE000A3E5UU2</t>
  </si>
  <si>
    <t>15.11.2030</t>
  </si>
  <si>
    <t>DE000A3E5UY4</t>
  </si>
  <si>
    <t>26.10.2026</t>
  </si>
  <si>
    <t>DE000A3H2TK9</t>
  </si>
  <si>
    <t>29.03.2030</t>
  </si>
  <si>
    <t>DE000A3H2TQ6</t>
  </si>
  <si>
    <t>DE000A3MP619</t>
  </si>
  <si>
    <t>21.11.2029</t>
  </si>
  <si>
    <t>DE000A3MP684</t>
  </si>
  <si>
    <t>30.05.2031</t>
  </si>
  <si>
    <t>DE000A3MQU11</t>
  </si>
  <si>
    <t>29.10.2027</t>
  </si>
  <si>
    <t>DE000A3MQU45</t>
  </si>
  <si>
    <t>31.05.2033</t>
  </si>
  <si>
    <t>DE000A3MQUX3</t>
  </si>
  <si>
    <t>28.11.2031</t>
  </si>
  <si>
    <t>DE000A3MQUZ8</t>
  </si>
  <si>
    <t>30.11.2032</t>
  </si>
  <si>
    <t>Laufzeit in Jahren</t>
  </si>
  <si>
    <t>MARKT</t>
  </si>
  <si>
    <t>INTERN REFI</t>
  </si>
  <si>
    <t>Herkunft</t>
  </si>
  <si>
    <t>Rendite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</si>
</sst>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2" fontId="0" fillId="0" borderId="4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7079-413D-469E-8C7D-9379D374D3DD}">
  <dimension ref="A1:P268"/>
  <sheetViews>
    <sheetView tabSelected="1" topLeftCell="B215" zoomScale="70" zoomScaleNormal="70" workbookViewId="0">
      <selection activeCell="N264" sqref="N1:N1048576"/>
    </sheetView>
  </sheetViews>
  <sheetFormatPr baseColWidth="10" defaultRowHeight="15" x14ac:dyDescent="0.25"/>
  <cols>
    <col min="1" max="2" width="32.5703125" customWidth="1"/>
    <col min="3" max="3" width="19" customWidth="1"/>
    <col min="4" max="4" width="15" customWidth="1"/>
    <col min="5" max="5" width="51" customWidth="1"/>
    <col min="6" max="6" width="29.85546875" customWidth="1"/>
    <col min="7" max="7" width="14.85546875" customWidth="1"/>
    <col min="8" max="8" width="16.42578125" customWidth="1"/>
    <col min="9" max="9" width="28" customWidth="1"/>
    <col min="10" max="10" width="25.42578125" customWidth="1"/>
    <col min="11" max="11" width="21.42578125" customWidth="1"/>
    <col min="12" max="12" width="25.42578125" customWidth="1"/>
    <col min="13" max="13" width="16.7109375" customWidth="1"/>
    <col min="14" max="14" width="25.5703125" customWidth="1"/>
    <col min="16" max="16" width="14.140625" bestFit="1" customWidth="1"/>
  </cols>
  <sheetData>
    <row r="1" spans="1:16" s="6" customFormat="1" x14ac:dyDescent="0.25">
      <c r="A1" s="1" t="s">
        <v>0</v>
      </c>
      <c r="B1" s="1" t="s">
        <v>596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593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19</v>
      </c>
      <c r="N1" s="2" t="s">
        <v>10</v>
      </c>
      <c r="O1" s="4" t="s">
        <v>525</v>
      </c>
      <c r="P1" s="4" t="s">
        <v>597</v>
      </c>
    </row>
    <row r="2" spans="1:16" x14ac:dyDescent="0.25">
      <c r="A2" t="s">
        <v>22</v>
      </c>
      <c r="B2" t="s">
        <v>594</v>
      </c>
      <c r="C2" t="s">
        <v>23</v>
      </c>
      <c r="D2" t="s">
        <v>13</v>
      </c>
      <c r="E2" t="s">
        <v>14</v>
      </c>
      <c r="F2" s="3">
        <v>45329</v>
      </c>
      <c r="G2" t="s">
        <v>24</v>
      </c>
      <c r="H2">
        <v>3</v>
      </c>
      <c r="I2" s="5">
        <v>12.133735538087979</v>
      </c>
      <c r="J2">
        <v>500000000</v>
      </c>
      <c r="K2">
        <v>2.75</v>
      </c>
      <c r="L2" t="s">
        <v>16</v>
      </c>
      <c r="M2">
        <v>0.37</v>
      </c>
      <c r="N2" t="s">
        <v>20</v>
      </c>
      <c r="O2" t="str">
        <f>MID(L2,7,1)</f>
        <v>H</v>
      </c>
      <c r="P2" s="5">
        <v>2.7220176584709193</v>
      </c>
    </row>
    <row r="3" spans="1:16" x14ac:dyDescent="0.25">
      <c r="A3" t="s">
        <v>25</v>
      </c>
      <c r="B3" t="s">
        <v>594</v>
      </c>
      <c r="C3" t="s">
        <v>26</v>
      </c>
      <c r="D3" t="s">
        <v>27</v>
      </c>
      <c r="E3" t="s">
        <v>28</v>
      </c>
      <c r="F3" s="3">
        <v>45715</v>
      </c>
      <c r="G3" t="s">
        <v>29</v>
      </c>
      <c r="H3">
        <v>3</v>
      </c>
      <c r="I3" s="5">
        <v>14.066677832263469</v>
      </c>
      <c r="J3">
        <v>1250000000</v>
      </c>
      <c r="K3">
        <v>2.5</v>
      </c>
      <c r="L3" t="s">
        <v>30</v>
      </c>
      <c r="M3">
        <v>0.37</v>
      </c>
      <c r="N3" t="s">
        <v>31</v>
      </c>
      <c r="O3" t="str">
        <f t="shared" ref="O3:O66" si="0">MID(L3,7,1)</f>
        <v>K</v>
      </c>
      <c r="P3" s="5">
        <v>2.4843486037960849</v>
      </c>
    </row>
    <row r="4" spans="1:16" x14ac:dyDescent="0.25">
      <c r="A4" t="s">
        <v>25</v>
      </c>
      <c r="B4" t="s">
        <v>594</v>
      </c>
      <c r="C4" t="s">
        <v>32</v>
      </c>
      <c r="D4" t="s">
        <v>27</v>
      </c>
      <c r="E4" t="s">
        <v>33</v>
      </c>
      <c r="F4" s="3">
        <v>45300</v>
      </c>
      <c r="G4" t="s">
        <v>34</v>
      </c>
      <c r="H4">
        <v>3</v>
      </c>
      <c r="I4" s="5">
        <v>10.00227237225565</v>
      </c>
      <c r="J4">
        <v>1000000000</v>
      </c>
      <c r="K4">
        <v>2.75</v>
      </c>
      <c r="L4" t="s">
        <v>30</v>
      </c>
      <c r="M4">
        <v>0.37</v>
      </c>
      <c r="N4" t="s">
        <v>31</v>
      </c>
      <c r="O4" t="str">
        <f t="shared" si="0"/>
        <v>K</v>
      </c>
      <c r="P4" s="5">
        <v>2.7263759523726905</v>
      </c>
    </row>
    <row r="5" spans="1:16" x14ac:dyDescent="0.25">
      <c r="A5" t="s">
        <v>35</v>
      </c>
      <c r="B5" t="s">
        <v>594</v>
      </c>
      <c r="C5" t="s">
        <v>36</v>
      </c>
      <c r="D5" t="s">
        <v>13</v>
      </c>
      <c r="E5" t="s">
        <v>14</v>
      </c>
      <c r="F5" s="3">
        <v>45307</v>
      </c>
      <c r="G5" t="s">
        <v>37</v>
      </c>
      <c r="H5">
        <v>3</v>
      </c>
      <c r="I5" s="5">
        <v>20.32843278707379</v>
      </c>
      <c r="J5">
        <v>600000000</v>
      </c>
      <c r="K5">
        <v>3.25</v>
      </c>
      <c r="L5" t="s">
        <v>16</v>
      </c>
      <c r="M5">
        <v>0.37</v>
      </c>
      <c r="N5" t="s">
        <v>20</v>
      </c>
      <c r="O5" t="str">
        <f t="shared" si="0"/>
        <v>H</v>
      </c>
      <c r="P5" s="5">
        <v>3.2030907361688081</v>
      </c>
    </row>
    <row r="6" spans="1:16" x14ac:dyDescent="0.25">
      <c r="A6" t="s">
        <v>35</v>
      </c>
      <c r="B6" t="s">
        <v>594</v>
      </c>
      <c r="C6" t="s">
        <v>38</v>
      </c>
      <c r="D6" t="s">
        <v>13</v>
      </c>
      <c r="E6" t="s">
        <v>14</v>
      </c>
      <c r="F6" s="3">
        <v>45120</v>
      </c>
      <c r="G6" t="s">
        <v>39</v>
      </c>
      <c r="H6">
        <v>3</v>
      </c>
      <c r="I6" s="5">
        <v>24.010237370475242</v>
      </c>
      <c r="J6">
        <v>550000000</v>
      </c>
      <c r="K6">
        <v>3.625</v>
      </c>
      <c r="L6" t="s">
        <v>16</v>
      </c>
      <c r="M6">
        <v>0.37</v>
      </c>
      <c r="N6" t="s">
        <v>20</v>
      </c>
      <c r="O6" t="str">
        <f t="shared" si="0"/>
        <v>H</v>
      </c>
      <c r="P6" s="5">
        <v>3.5647030479440267</v>
      </c>
    </row>
    <row r="7" spans="1:16" x14ac:dyDescent="0.25">
      <c r="A7" t="s">
        <v>35</v>
      </c>
      <c r="B7" t="s">
        <v>594</v>
      </c>
      <c r="C7" t="s">
        <v>40</v>
      </c>
      <c r="D7" t="s">
        <v>13</v>
      </c>
      <c r="E7" t="s">
        <v>14</v>
      </c>
      <c r="F7" s="3">
        <v>45680</v>
      </c>
      <c r="G7" t="s">
        <v>41</v>
      </c>
      <c r="H7">
        <v>3</v>
      </c>
      <c r="I7" s="5">
        <v>35.911014969020108</v>
      </c>
      <c r="J7">
        <v>750000000</v>
      </c>
      <c r="K7">
        <v>2.875</v>
      </c>
      <c r="L7" t="s">
        <v>16</v>
      </c>
      <c r="M7">
        <v>0.37</v>
      </c>
      <c r="N7" t="s">
        <v>20</v>
      </c>
      <c r="O7" t="str">
        <f t="shared" si="0"/>
        <v>H</v>
      </c>
      <c r="P7" s="5">
        <v>2.8437331539720767</v>
      </c>
    </row>
    <row r="8" spans="1:16" x14ac:dyDescent="0.25">
      <c r="A8" t="s">
        <v>42</v>
      </c>
      <c r="B8" t="s">
        <v>594</v>
      </c>
      <c r="C8" t="s">
        <v>43</v>
      </c>
      <c r="D8" t="s">
        <v>13</v>
      </c>
      <c r="E8" t="s">
        <v>14</v>
      </c>
      <c r="F8" s="3">
        <v>45065</v>
      </c>
      <c r="G8" t="s">
        <v>44</v>
      </c>
      <c r="H8">
        <v>3</v>
      </c>
      <c r="I8" s="5">
        <v>5.2722882452895021</v>
      </c>
      <c r="J8">
        <v>500000000</v>
      </c>
      <c r="K8">
        <v>3.125</v>
      </c>
      <c r="L8" t="s">
        <v>16</v>
      </c>
      <c r="M8">
        <v>0.37</v>
      </c>
      <c r="N8" t="s">
        <v>20</v>
      </c>
      <c r="O8" t="str">
        <f t="shared" si="0"/>
        <v>H</v>
      </c>
      <c r="P8" s="5">
        <v>3.08545983224972</v>
      </c>
    </row>
    <row r="9" spans="1:16" x14ac:dyDescent="0.25">
      <c r="A9" t="s">
        <v>45</v>
      </c>
      <c r="B9" t="s">
        <v>594</v>
      </c>
      <c r="C9" t="s">
        <v>46</v>
      </c>
      <c r="D9" t="s">
        <v>13</v>
      </c>
      <c r="E9" t="s">
        <v>14</v>
      </c>
      <c r="F9" s="3">
        <v>45408</v>
      </c>
      <c r="G9" t="s">
        <v>47</v>
      </c>
      <c r="H9">
        <v>3</v>
      </c>
      <c r="I9" s="5">
        <v>13.36958461785839</v>
      </c>
      <c r="J9">
        <v>500000000</v>
      </c>
      <c r="K9">
        <v>3</v>
      </c>
      <c r="L9" t="s">
        <v>16</v>
      </c>
      <c r="M9">
        <v>0.37</v>
      </c>
      <c r="N9" t="s">
        <v>20</v>
      </c>
      <c r="O9" t="str">
        <f t="shared" si="0"/>
        <v>H</v>
      </c>
      <c r="P9" s="5">
        <v>2.9585798816568047</v>
      </c>
    </row>
    <row r="10" spans="1:16" x14ac:dyDescent="0.25">
      <c r="A10" t="s">
        <v>45</v>
      </c>
      <c r="B10" t="s">
        <v>594</v>
      </c>
      <c r="C10" t="s">
        <v>48</v>
      </c>
      <c r="D10" t="s">
        <v>27</v>
      </c>
      <c r="E10" t="s">
        <v>28</v>
      </c>
      <c r="F10" s="3">
        <v>45547</v>
      </c>
      <c r="G10" t="s">
        <v>49</v>
      </c>
      <c r="H10">
        <v>3</v>
      </c>
      <c r="I10" s="5">
        <v>12.29430279586245</v>
      </c>
      <c r="J10">
        <v>750000000</v>
      </c>
      <c r="K10">
        <v>2.625</v>
      </c>
      <c r="L10" t="s">
        <v>30</v>
      </c>
      <c r="M10">
        <v>0.37</v>
      </c>
      <c r="N10" t="s">
        <v>31</v>
      </c>
      <c r="O10" t="str">
        <f t="shared" si="0"/>
        <v>K</v>
      </c>
      <c r="P10" s="5">
        <v>2.6017275470912686</v>
      </c>
    </row>
    <row r="11" spans="1:16" x14ac:dyDescent="0.25">
      <c r="A11" t="s">
        <v>50</v>
      </c>
      <c r="B11" t="s">
        <v>594</v>
      </c>
      <c r="C11" t="s">
        <v>51</v>
      </c>
      <c r="D11" t="s">
        <v>13</v>
      </c>
      <c r="E11" t="s">
        <v>14</v>
      </c>
      <c r="F11" s="3">
        <v>45175</v>
      </c>
      <c r="G11" t="s">
        <v>52</v>
      </c>
      <c r="H11">
        <v>3</v>
      </c>
      <c r="I11" s="5">
        <v>1.6634328980953801</v>
      </c>
      <c r="J11">
        <v>750000000</v>
      </c>
      <c r="K11">
        <v>3.5</v>
      </c>
      <c r="L11" t="s">
        <v>16</v>
      </c>
      <c r="M11">
        <v>0.37</v>
      </c>
      <c r="N11" t="s">
        <v>20</v>
      </c>
      <c r="O11" t="str">
        <f t="shared" si="0"/>
        <v>H</v>
      </c>
      <c r="P11" s="5">
        <v>3.4472569683837286</v>
      </c>
    </row>
    <row r="12" spans="1:16" x14ac:dyDescent="0.25">
      <c r="A12" t="s">
        <v>53</v>
      </c>
      <c r="B12" t="s">
        <v>594</v>
      </c>
      <c r="C12" t="s">
        <v>54</v>
      </c>
      <c r="D12" t="s">
        <v>27</v>
      </c>
      <c r="E12" t="s">
        <v>28</v>
      </c>
      <c r="F12" s="3">
        <v>45336</v>
      </c>
      <c r="G12" t="s">
        <v>55</v>
      </c>
      <c r="H12">
        <v>3</v>
      </c>
      <c r="I12" s="5">
        <v>17.065110515678061</v>
      </c>
      <c r="J12">
        <v>750000000</v>
      </c>
      <c r="K12">
        <v>2.875</v>
      </c>
      <c r="L12" t="s">
        <v>30</v>
      </c>
      <c r="M12">
        <v>0.37</v>
      </c>
      <c r="N12" t="s">
        <v>31</v>
      </c>
      <c r="O12" t="str">
        <f t="shared" si="0"/>
        <v>K</v>
      </c>
      <c r="P12" s="5">
        <v>2.842706850181933</v>
      </c>
    </row>
    <row r="13" spans="1:16" x14ac:dyDescent="0.25">
      <c r="A13" t="s">
        <v>11</v>
      </c>
      <c r="B13" t="s">
        <v>594</v>
      </c>
      <c r="C13" t="s">
        <v>12</v>
      </c>
      <c r="D13" t="s">
        <v>13</v>
      </c>
      <c r="E13" t="s">
        <v>14</v>
      </c>
      <c r="F13" s="3">
        <v>44939</v>
      </c>
      <c r="G13" t="s">
        <v>15</v>
      </c>
      <c r="H13">
        <v>3</v>
      </c>
      <c r="I13" s="5">
        <v>9.1730881873268402</v>
      </c>
      <c r="J13">
        <v>1000000000</v>
      </c>
      <c r="K13">
        <v>3</v>
      </c>
      <c r="L13" t="s">
        <v>16</v>
      </c>
      <c r="M13">
        <v>0.37</v>
      </c>
      <c r="N13" t="s">
        <v>20</v>
      </c>
      <c r="O13" t="str">
        <f t="shared" si="0"/>
        <v>H</v>
      </c>
      <c r="P13" s="5">
        <v>2.9755410525480546</v>
      </c>
    </row>
    <row r="14" spans="1:16" x14ac:dyDescent="0.25">
      <c r="A14" t="s">
        <v>56</v>
      </c>
      <c r="B14" t="s">
        <v>594</v>
      </c>
      <c r="C14" t="s">
        <v>57</v>
      </c>
      <c r="D14" t="s">
        <v>13</v>
      </c>
      <c r="E14" t="s">
        <v>14</v>
      </c>
      <c r="F14" s="3">
        <v>45301</v>
      </c>
      <c r="G14" t="s">
        <v>58</v>
      </c>
      <c r="H14">
        <v>4</v>
      </c>
      <c r="I14" s="5">
        <v>26.87166528923149</v>
      </c>
      <c r="J14">
        <v>500000000</v>
      </c>
      <c r="K14">
        <v>2.875</v>
      </c>
      <c r="L14" t="s">
        <v>17</v>
      </c>
      <c r="M14">
        <v>0.42</v>
      </c>
      <c r="N14" t="s">
        <v>21</v>
      </c>
      <c r="O14" t="str">
        <f t="shared" si="0"/>
        <v>H</v>
      </c>
      <c r="P14" s="5">
        <v>2.8356412987730302</v>
      </c>
    </row>
    <row r="15" spans="1:16" x14ac:dyDescent="0.25">
      <c r="A15" t="s">
        <v>59</v>
      </c>
      <c r="B15" t="s">
        <v>594</v>
      </c>
      <c r="C15" t="s">
        <v>60</v>
      </c>
      <c r="D15" t="s">
        <v>13</v>
      </c>
      <c r="E15" t="s">
        <v>14</v>
      </c>
      <c r="F15" s="3">
        <v>45118</v>
      </c>
      <c r="G15" t="s">
        <v>34</v>
      </c>
      <c r="H15">
        <v>4</v>
      </c>
      <c r="I15" s="5">
        <v>5.699682063833535</v>
      </c>
      <c r="J15">
        <v>500000000</v>
      </c>
      <c r="K15">
        <v>3.5</v>
      </c>
      <c r="L15" t="s">
        <v>17</v>
      </c>
      <c r="M15">
        <v>0.42</v>
      </c>
      <c r="N15" t="s">
        <v>21</v>
      </c>
      <c r="O15" t="str">
        <f t="shared" si="0"/>
        <v>H</v>
      </c>
      <c r="P15" s="5">
        <v>3.4309184568709044</v>
      </c>
    </row>
    <row r="16" spans="1:16" x14ac:dyDescent="0.25">
      <c r="A16" t="s">
        <v>22</v>
      </c>
      <c r="B16" t="s">
        <v>594</v>
      </c>
      <c r="C16" t="s">
        <v>61</v>
      </c>
      <c r="D16" t="s">
        <v>13</v>
      </c>
      <c r="E16" t="s">
        <v>18</v>
      </c>
      <c r="F16" s="3">
        <v>45693</v>
      </c>
      <c r="G16" t="s">
        <v>62</v>
      </c>
      <c r="H16">
        <v>4</v>
      </c>
      <c r="I16" s="5">
        <v>23.035245286147699</v>
      </c>
      <c r="J16">
        <v>1000000000</v>
      </c>
      <c r="K16">
        <v>2.625</v>
      </c>
      <c r="L16" t="s">
        <v>17</v>
      </c>
      <c r="M16">
        <v>0.42</v>
      </c>
      <c r="N16" t="s">
        <v>21</v>
      </c>
      <c r="O16" t="str">
        <f t="shared" si="0"/>
        <v>H</v>
      </c>
      <c r="P16" s="5">
        <v>2.6078015487857575</v>
      </c>
    </row>
    <row r="17" spans="1:16" x14ac:dyDescent="0.25">
      <c r="A17" t="s">
        <v>35</v>
      </c>
      <c r="B17" t="s">
        <v>594</v>
      </c>
      <c r="C17" t="s">
        <v>63</v>
      </c>
      <c r="D17" t="s">
        <v>13</v>
      </c>
      <c r="E17" t="s">
        <v>14</v>
      </c>
      <c r="F17" s="3">
        <v>45807</v>
      </c>
      <c r="G17" t="s">
        <v>64</v>
      </c>
      <c r="H17">
        <v>4</v>
      </c>
      <c r="I17" s="5">
        <v>44.65298298851669</v>
      </c>
      <c r="J17">
        <v>500000000</v>
      </c>
      <c r="K17">
        <v>2.625</v>
      </c>
      <c r="L17" t="s">
        <v>17</v>
      </c>
      <c r="M17">
        <v>0.42</v>
      </c>
      <c r="N17" t="s">
        <v>21</v>
      </c>
      <c r="O17" t="str">
        <f t="shared" si="0"/>
        <v>H</v>
      </c>
      <c r="P17" s="5">
        <v>2.6277065377338662</v>
      </c>
    </row>
    <row r="18" spans="1:16" x14ac:dyDescent="0.25">
      <c r="A18" t="s">
        <v>35</v>
      </c>
      <c r="B18" t="s">
        <v>594</v>
      </c>
      <c r="C18" t="s">
        <v>65</v>
      </c>
      <c r="D18" t="s">
        <v>13</v>
      </c>
      <c r="E18" t="s">
        <v>14</v>
      </c>
      <c r="F18" s="3">
        <v>44858</v>
      </c>
      <c r="G18" t="s">
        <v>66</v>
      </c>
      <c r="H18">
        <v>4</v>
      </c>
      <c r="I18" s="5">
        <v>16.410746908670252</v>
      </c>
      <c r="J18">
        <v>650000000</v>
      </c>
      <c r="K18">
        <v>3</v>
      </c>
      <c r="L18" t="s">
        <v>17</v>
      </c>
      <c r="M18">
        <v>0.42</v>
      </c>
      <c r="N18" t="s">
        <v>21</v>
      </c>
      <c r="O18" t="str">
        <f t="shared" si="0"/>
        <v>H</v>
      </c>
      <c r="P18" s="5">
        <v>2.964529405661263</v>
      </c>
    </row>
    <row r="19" spans="1:16" x14ac:dyDescent="0.25">
      <c r="A19" t="s">
        <v>35</v>
      </c>
      <c r="B19" t="s">
        <v>594</v>
      </c>
      <c r="C19" t="s">
        <v>67</v>
      </c>
      <c r="D19" t="s">
        <v>13</v>
      </c>
      <c r="E19" t="s">
        <v>14</v>
      </c>
      <c r="F19" s="3">
        <v>45194</v>
      </c>
      <c r="G19" t="s">
        <v>68</v>
      </c>
      <c r="H19">
        <v>4</v>
      </c>
      <c r="I19" s="5">
        <v>23.1396543229942</v>
      </c>
      <c r="J19">
        <v>750000000</v>
      </c>
      <c r="K19">
        <v>3.625</v>
      </c>
      <c r="L19" t="s">
        <v>17</v>
      </c>
      <c r="M19">
        <v>0.42</v>
      </c>
      <c r="N19" t="s">
        <v>21</v>
      </c>
      <c r="O19" t="str">
        <f t="shared" si="0"/>
        <v>H</v>
      </c>
      <c r="P19" s="5">
        <v>3.5205283220433632</v>
      </c>
    </row>
    <row r="20" spans="1:16" x14ac:dyDescent="0.25">
      <c r="A20" t="s">
        <v>42</v>
      </c>
      <c r="B20" t="s">
        <v>594</v>
      </c>
      <c r="C20" t="s">
        <v>69</v>
      </c>
      <c r="D20" t="s">
        <v>13</v>
      </c>
      <c r="E20" t="s">
        <v>14</v>
      </c>
      <c r="F20" s="3">
        <v>44944</v>
      </c>
      <c r="G20" t="s">
        <v>70</v>
      </c>
      <c r="H20">
        <v>4</v>
      </c>
      <c r="I20" s="5">
        <v>17.529022746724792</v>
      </c>
      <c r="J20">
        <v>500000000</v>
      </c>
      <c r="K20">
        <v>3</v>
      </c>
      <c r="L20" t="s">
        <v>17</v>
      </c>
      <c r="M20">
        <v>0.42</v>
      </c>
      <c r="N20" t="s">
        <v>21</v>
      </c>
      <c r="O20" t="str">
        <f t="shared" si="0"/>
        <v>H</v>
      </c>
      <c r="P20" s="5">
        <v>2.9663907923229806</v>
      </c>
    </row>
    <row r="21" spans="1:16" x14ac:dyDescent="0.25">
      <c r="A21" t="s">
        <v>71</v>
      </c>
      <c r="B21" t="s">
        <v>594</v>
      </c>
      <c r="C21" t="s">
        <v>72</v>
      </c>
      <c r="D21" t="s">
        <v>13</v>
      </c>
      <c r="E21" t="s">
        <v>14</v>
      </c>
      <c r="F21" s="3">
        <v>44861</v>
      </c>
      <c r="G21" t="s">
        <v>73</v>
      </c>
      <c r="H21">
        <v>4</v>
      </c>
      <c r="I21" s="5">
        <v>38.71039947883547</v>
      </c>
      <c r="J21">
        <v>500000000</v>
      </c>
      <c r="K21">
        <v>3.125</v>
      </c>
      <c r="L21" t="s">
        <v>17</v>
      </c>
      <c r="M21">
        <v>0.42</v>
      </c>
      <c r="N21" t="s">
        <v>21</v>
      </c>
      <c r="O21" t="str">
        <f t="shared" si="0"/>
        <v>H</v>
      </c>
      <c r="P21" s="5">
        <v>3.1036006733572017</v>
      </c>
    </row>
    <row r="22" spans="1:16" x14ac:dyDescent="0.25">
      <c r="A22" t="s">
        <v>74</v>
      </c>
      <c r="B22" t="s">
        <v>594</v>
      </c>
      <c r="C22" t="s">
        <v>75</v>
      </c>
      <c r="D22" t="s">
        <v>13</v>
      </c>
      <c r="E22" t="s">
        <v>18</v>
      </c>
      <c r="F22" s="3">
        <v>45245</v>
      </c>
      <c r="G22" t="s">
        <v>76</v>
      </c>
      <c r="H22">
        <v>4</v>
      </c>
      <c r="I22" s="5">
        <v>12.472937619131541</v>
      </c>
      <c r="J22">
        <v>1000000000</v>
      </c>
      <c r="K22">
        <v>3.25</v>
      </c>
      <c r="L22" t="s">
        <v>17</v>
      </c>
      <c r="M22">
        <v>0.42</v>
      </c>
      <c r="N22" t="s">
        <v>21</v>
      </c>
      <c r="O22" t="str">
        <f t="shared" si="0"/>
        <v>H</v>
      </c>
      <c r="P22" s="5">
        <v>3.1726352884901674</v>
      </c>
    </row>
    <row r="23" spans="1:16" x14ac:dyDescent="0.25">
      <c r="A23" t="s">
        <v>77</v>
      </c>
      <c r="B23" t="s">
        <v>594</v>
      </c>
      <c r="C23" t="s">
        <v>78</v>
      </c>
      <c r="D23" t="s">
        <v>13</v>
      </c>
      <c r="E23" t="s">
        <v>14</v>
      </c>
      <c r="F23" s="3">
        <v>45798</v>
      </c>
      <c r="G23" t="s">
        <v>79</v>
      </c>
      <c r="H23">
        <v>4</v>
      </c>
      <c r="I23" s="5">
        <v>23.476581325555731</v>
      </c>
      <c r="J23">
        <v>750000000</v>
      </c>
      <c r="K23">
        <v>2.375</v>
      </c>
      <c r="L23" t="s">
        <v>17</v>
      </c>
      <c r="M23">
        <v>0.42</v>
      </c>
      <c r="N23" t="s">
        <v>21</v>
      </c>
      <c r="O23" t="str">
        <f t="shared" si="0"/>
        <v>H</v>
      </c>
      <c r="P23" s="5">
        <v>2.3800099208834595</v>
      </c>
    </row>
    <row r="24" spans="1:16" x14ac:dyDescent="0.25">
      <c r="A24" t="s">
        <v>77</v>
      </c>
      <c r="B24" t="s">
        <v>594</v>
      </c>
      <c r="C24" t="s">
        <v>80</v>
      </c>
      <c r="D24" t="s">
        <v>27</v>
      </c>
      <c r="E24" t="s">
        <v>33</v>
      </c>
      <c r="F24" s="3">
        <v>45167</v>
      </c>
      <c r="G24" t="s">
        <v>81</v>
      </c>
      <c r="H24">
        <v>4</v>
      </c>
      <c r="I24" s="5">
        <v>17.86664889031297</v>
      </c>
      <c r="J24">
        <v>1000000000</v>
      </c>
      <c r="K24">
        <v>3.375</v>
      </c>
      <c r="L24" t="s">
        <v>17</v>
      </c>
      <c r="M24">
        <v>0.42</v>
      </c>
      <c r="N24" t="s">
        <v>21</v>
      </c>
      <c r="O24" t="str">
        <f t="shared" si="0"/>
        <v>H</v>
      </c>
      <c r="P24" s="5">
        <v>3.2896179657002498</v>
      </c>
    </row>
    <row r="25" spans="1:16" x14ac:dyDescent="0.25">
      <c r="A25" t="s">
        <v>77</v>
      </c>
      <c r="B25" t="s">
        <v>594</v>
      </c>
      <c r="C25" t="s">
        <v>82</v>
      </c>
      <c r="D25" t="s">
        <v>27</v>
      </c>
      <c r="E25" t="s">
        <v>28</v>
      </c>
      <c r="F25" s="3">
        <v>45230</v>
      </c>
      <c r="G25" t="s">
        <v>83</v>
      </c>
      <c r="H25">
        <v>4</v>
      </c>
      <c r="I25" s="5">
        <v>11.26725735770489</v>
      </c>
      <c r="J25">
        <v>750000000</v>
      </c>
      <c r="K25">
        <v>3.5</v>
      </c>
      <c r="L25" t="s">
        <v>17</v>
      </c>
      <c r="M25">
        <v>0.42</v>
      </c>
      <c r="N25" t="s">
        <v>21</v>
      </c>
      <c r="O25" t="str">
        <f t="shared" si="0"/>
        <v>H</v>
      </c>
      <c r="P25" s="5">
        <v>3.40961120690495</v>
      </c>
    </row>
    <row r="26" spans="1:16" x14ac:dyDescent="0.25">
      <c r="A26" t="s">
        <v>77</v>
      </c>
      <c r="B26" t="s">
        <v>594</v>
      </c>
      <c r="C26" t="s">
        <v>78</v>
      </c>
      <c r="D26" t="s">
        <v>13</v>
      </c>
      <c r="E26" t="s">
        <v>14</v>
      </c>
      <c r="F26" s="3">
        <v>45798</v>
      </c>
      <c r="G26" t="s">
        <v>79</v>
      </c>
      <c r="H26">
        <v>4</v>
      </c>
      <c r="I26" s="5">
        <v>23.476581325555731</v>
      </c>
      <c r="J26">
        <v>750000000</v>
      </c>
      <c r="K26">
        <v>2.375</v>
      </c>
      <c r="L26" t="s">
        <v>17</v>
      </c>
      <c r="M26">
        <v>0.42</v>
      </c>
      <c r="N26" t="s">
        <v>21</v>
      </c>
      <c r="O26" t="str">
        <f t="shared" si="0"/>
        <v>H</v>
      </c>
      <c r="P26" s="5">
        <v>2.3800099208834595</v>
      </c>
    </row>
    <row r="27" spans="1:16" x14ac:dyDescent="0.25">
      <c r="A27" t="s">
        <v>45</v>
      </c>
      <c r="B27" t="s">
        <v>594</v>
      </c>
      <c r="C27" t="s">
        <v>84</v>
      </c>
      <c r="D27" t="s">
        <v>13</v>
      </c>
      <c r="E27" t="s">
        <v>14</v>
      </c>
      <c r="F27" s="3">
        <v>45104</v>
      </c>
      <c r="G27" t="s">
        <v>85</v>
      </c>
      <c r="H27">
        <v>4</v>
      </c>
      <c r="I27" s="5">
        <v>6.0211712326394604</v>
      </c>
      <c r="J27">
        <v>500000000</v>
      </c>
      <c r="K27">
        <v>3.25</v>
      </c>
      <c r="L27" t="s">
        <v>17</v>
      </c>
      <c r="M27">
        <v>0.42</v>
      </c>
      <c r="N27" t="s">
        <v>21</v>
      </c>
      <c r="O27" t="str">
        <f t="shared" si="0"/>
        <v>H</v>
      </c>
      <c r="P27" s="5">
        <v>3.1779091313552068</v>
      </c>
    </row>
    <row r="28" spans="1:16" x14ac:dyDescent="0.25">
      <c r="A28" t="s">
        <v>45</v>
      </c>
      <c r="B28" t="s">
        <v>594</v>
      </c>
      <c r="C28" t="s">
        <v>86</v>
      </c>
      <c r="D28" t="s">
        <v>27</v>
      </c>
      <c r="E28" t="s">
        <v>33</v>
      </c>
      <c r="F28" s="3">
        <v>44832</v>
      </c>
      <c r="G28" t="s">
        <v>87</v>
      </c>
      <c r="H28">
        <v>4</v>
      </c>
      <c r="I28" s="5">
        <v>6.8688589476504944</v>
      </c>
      <c r="J28">
        <v>1000000000</v>
      </c>
      <c r="K28">
        <v>2.375</v>
      </c>
      <c r="L28" t="s">
        <v>88</v>
      </c>
      <c r="M28">
        <v>0.42</v>
      </c>
      <c r="N28" t="s">
        <v>89</v>
      </c>
      <c r="O28" t="str">
        <f t="shared" si="0"/>
        <v>K</v>
      </c>
      <c r="P28" s="5">
        <v>2.3663391985333679</v>
      </c>
    </row>
    <row r="29" spans="1:16" x14ac:dyDescent="0.25">
      <c r="A29" t="s">
        <v>45</v>
      </c>
      <c r="B29" t="s">
        <v>594</v>
      </c>
      <c r="C29" t="s">
        <v>90</v>
      </c>
      <c r="D29" t="s">
        <v>27</v>
      </c>
      <c r="E29" t="s">
        <v>28</v>
      </c>
      <c r="F29" s="3">
        <v>45050</v>
      </c>
      <c r="G29" t="s">
        <v>91</v>
      </c>
      <c r="H29">
        <v>4</v>
      </c>
      <c r="I29" s="5">
        <v>6.0866251504769204</v>
      </c>
      <c r="J29">
        <v>750000000</v>
      </c>
      <c r="K29">
        <v>3.25</v>
      </c>
      <c r="L29" t="s">
        <v>88</v>
      </c>
      <c r="M29">
        <v>0.42</v>
      </c>
      <c r="N29" t="s">
        <v>89</v>
      </c>
      <c r="O29" t="str">
        <f t="shared" si="0"/>
        <v>K</v>
      </c>
      <c r="P29" s="5">
        <v>3.2035643349646872</v>
      </c>
    </row>
    <row r="30" spans="1:16" x14ac:dyDescent="0.25">
      <c r="A30" t="s">
        <v>45</v>
      </c>
      <c r="B30" t="s">
        <v>594</v>
      </c>
      <c r="C30" t="s">
        <v>92</v>
      </c>
      <c r="D30" t="s">
        <v>27</v>
      </c>
      <c r="E30" t="s">
        <v>28</v>
      </c>
      <c r="F30" s="3">
        <v>45596</v>
      </c>
      <c r="G30" t="s">
        <v>93</v>
      </c>
      <c r="H30">
        <v>4</v>
      </c>
      <c r="I30" s="5">
        <v>17.59289847345055</v>
      </c>
      <c r="J30">
        <v>500000000</v>
      </c>
      <c r="K30">
        <v>2.375</v>
      </c>
      <c r="L30" t="s">
        <v>88</v>
      </c>
      <c r="M30">
        <v>0.42</v>
      </c>
      <c r="N30" t="s">
        <v>89</v>
      </c>
      <c r="O30" t="str">
        <f t="shared" si="0"/>
        <v>K</v>
      </c>
      <c r="P30" s="5">
        <v>2.3736232984868777</v>
      </c>
    </row>
    <row r="31" spans="1:16" x14ac:dyDescent="0.25">
      <c r="A31" t="s">
        <v>53</v>
      </c>
      <c r="B31" t="s">
        <v>594</v>
      </c>
      <c r="C31" t="s">
        <v>94</v>
      </c>
      <c r="D31" t="s">
        <v>13</v>
      </c>
      <c r="E31" t="s">
        <v>14</v>
      </c>
      <c r="F31" s="3">
        <v>45588</v>
      </c>
      <c r="G31" t="s">
        <v>95</v>
      </c>
      <c r="H31">
        <v>4</v>
      </c>
      <c r="I31" s="5">
        <v>19.860925724903421</v>
      </c>
      <c r="J31">
        <v>500000000</v>
      </c>
      <c r="K31">
        <v>2.5</v>
      </c>
      <c r="L31" t="s">
        <v>17</v>
      </c>
      <c r="M31">
        <v>0.42</v>
      </c>
      <c r="N31" t="s">
        <v>21</v>
      </c>
      <c r="O31" t="str">
        <f t="shared" si="0"/>
        <v>H</v>
      </c>
      <c r="P31" s="5">
        <v>2.490275474272964</v>
      </c>
    </row>
    <row r="32" spans="1:16" x14ac:dyDescent="0.25">
      <c r="A32" t="s">
        <v>53</v>
      </c>
      <c r="B32" t="s">
        <v>594</v>
      </c>
      <c r="C32" t="s">
        <v>96</v>
      </c>
      <c r="D32" t="s">
        <v>13</v>
      </c>
      <c r="E32" t="s">
        <v>18</v>
      </c>
      <c r="F32" s="3">
        <v>45677</v>
      </c>
      <c r="G32" t="s">
        <v>97</v>
      </c>
      <c r="H32">
        <v>4</v>
      </c>
      <c r="I32" s="5">
        <v>20.491678636353999</v>
      </c>
      <c r="J32">
        <v>1000000000</v>
      </c>
      <c r="K32">
        <v>2.625</v>
      </c>
      <c r="L32" t="s">
        <v>17</v>
      </c>
      <c r="M32">
        <v>0.42</v>
      </c>
      <c r="N32" t="s">
        <v>98</v>
      </c>
      <c r="O32" t="str">
        <f t="shared" si="0"/>
        <v>H</v>
      </c>
      <c r="P32" s="5">
        <v>2.6065068340126798</v>
      </c>
    </row>
    <row r="33" spans="1:16" x14ac:dyDescent="0.25">
      <c r="A33" t="s">
        <v>56</v>
      </c>
      <c r="B33" t="s">
        <v>594</v>
      </c>
      <c r="C33" t="s">
        <v>99</v>
      </c>
      <c r="D33" t="s">
        <v>13</v>
      </c>
      <c r="E33" t="s">
        <v>14</v>
      </c>
      <c r="F33" s="3">
        <v>44734</v>
      </c>
      <c r="G33" t="s">
        <v>100</v>
      </c>
      <c r="H33">
        <v>5</v>
      </c>
      <c r="I33" s="5">
        <v>20.720531836997079</v>
      </c>
      <c r="J33">
        <v>500000000</v>
      </c>
      <c r="K33">
        <v>2.25</v>
      </c>
      <c r="L33" t="s">
        <v>17</v>
      </c>
      <c r="M33">
        <v>0.45</v>
      </c>
      <c r="N33" t="s">
        <v>155</v>
      </c>
      <c r="O33" t="str">
        <f t="shared" si="0"/>
        <v>H</v>
      </c>
      <c r="P33" s="5">
        <v>2.2488193698308385</v>
      </c>
    </row>
    <row r="34" spans="1:16" x14ac:dyDescent="0.25">
      <c r="A34" t="s">
        <v>56</v>
      </c>
      <c r="B34" t="s">
        <v>594</v>
      </c>
      <c r="C34" t="s">
        <v>102</v>
      </c>
      <c r="D34" t="s">
        <v>13</v>
      </c>
      <c r="E34" t="s">
        <v>14</v>
      </c>
      <c r="F34" s="3">
        <v>44937</v>
      </c>
      <c r="G34" t="s">
        <v>103</v>
      </c>
      <c r="H34">
        <v>5</v>
      </c>
      <c r="I34" s="5">
        <v>25.969217494182619</v>
      </c>
      <c r="J34">
        <v>750000000</v>
      </c>
      <c r="K34">
        <v>3</v>
      </c>
      <c r="L34" t="s">
        <v>17</v>
      </c>
      <c r="M34">
        <v>0.45</v>
      </c>
      <c r="N34" t="s">
        <v>155</v>
      </c>
      <c r="O34" t="str">
        <f t="shared" si="0"/>
        <v>H</v>
      </c>
      <c r="P34" s="5">
        <v>2.9563640663802278</v>
      </c>
    </row>
    <row r="35" spans="1:16" x14ac:dyDescent="0.25">
      <c r="A35" t="s">
        <v>56</v>
      </c>
      <c r="B35" t="s">
        <v>594</v>
      </c>
      <c r="C35" t="s">
        <v>104</v>
      </c>
      <c r="D35" t="s">
        <v>13</v>
      </c>
      <c r="E35" t="s">
        <v>14</v>
      </c>
      <c r="F35" s="3">
        <v>45490</v>
      </c>
      <c r="G35" t="s">
        <v>105</v>
      </c>
      <c r="H35">
        <v>5</v>
      </c>
      <c r="I35" s="5">
        <v>32.853813845659523</v>
      </c>
      <c r="J35">
        <v>500000000</v>
      </c>
      <c r="K35">
        <v>3.25</v>
      </c>
      <c r="L35" t="s">
        <v>17</v>
      </c>
      <c r="M35">
        <v>0.45</v>
      </c>
      <c r="N35" t="s">
        <v>155</v>
      </c>
      <c r="O35" t="str">
        <f t="shared" si="0"/>
        <v>H</v>
      </c>
      <c r="P35" s="5">
        <v>3.1615708629629271</v>
      </c>
    </row>
    <row r="36" spans="1:16" x14ac:dyDescent="0.25">
      <c r="A36" t="s">
        <v>106</v>
      </c>
      <c r="B36" t="s">
        <v>594</v>
      </c>
      <c r="C36" t="s">
        <v>107</v>
      </c>
      <c r="D36" t="s">
        <v>13</v>
      </c>
      <c r="E36" t="s">
        <v>14</v>
      </c>
      <c r="F36" s="3">
        <v>45307</v>
      </c>
      <c r="G36" t="s">
        <v>108</v>
      </c>
      <c r="H36">
        <v>5</v>
      </c>
      <c r="I36" s="5">
        <v>25.026510983819811</v>
      </c>
      <c r="J36">
        <v>500000000</v>
      </c>
      <c r="K36">
        <v>2.875</v>
      </c>
      <c r="L36" t="s">
        <v>17</v>
      </c>
      <c r="M36">
        <v>0.45</v>
      </c>
      <c r="N36" t="s">
        <v>155</v>
      </c>
      <c r="O36" t="str">
        <f t="shared" si="0"/>
        <v>H</v>
      </c>
      <c r="P36" s="5">
        <v>2.8352777586019862</v>
      </c>
    </row>
    <row r="37" spans="1:16" x14ac:dyDescent="0.25">
      <c r="A37" t="s">
        <v>59</v>
      </c>
      <c r="B37" t="s">
        <v>594</v>
      </c>
      <c r="C37" t="s">
        <v>109</v>
      </c>
      <c r="D37" t="s">
        <v>13</v>
      </c>
      <c r="E37" t="s">
        <v>14</v>
      </c>
      <c r="F37" s="3">
        <v>44853</v>
      </c>
      <c r="G37" t="s">
        <v>110</v>
      </c>
      <c r="H37">
        <v>5</v>
      </c>
      <c r="I37" s="5">
        <v>1.9062776386603839</v>
      </c>
      <c r="J37">
        <v>500000000</v>
      </c>
      <c r="K37">
        <v>3.125</v>
      </c>
      <c r="L37" t="s">
        <v>17</v>
      </c>
      <c r="M37">
        <v>0.44</v>
      </c>
      <c r="N37" t="s">
        <v>155</v>
      </c>
      <c r="O37" t="str">
        <f t="shared" si="0"/>
        <v>H</v>
      </c>
      <c r="P37" s="5">
        <v>3.0565934388387879</v>
      </c>
    </row>
    <row r="38" spans="1:16" x14ac:dyDescent="0.25">
      <c r="A38" t="s">
        <v>59</v>
      </c>
      <c r="B38" t="s">
        <v>594</v>
      </c>
      <c r="C38" t="s">
        <v>111</v>
      </c>
      <c r="D38" t="s">
        <v>13</v>
      </c>
      <c r="E38" t="s">
        <v>14</v>
      </c>
      <c r="F38" s="3">
        <v>45364</v>
      </c>
      <c r="G38" t="s">
        <v>112</v>
      </c>
      <c r="H38">
        <v>5</v>
      </c>
      <c r="I38" s="5">
        <v>18.953373577800239</v>
      </c>
      <c r="J38">
        <v>500000000</v>
      </c>
      <c r="K38">
        <v>2.875</v>
      </c>
      <c r="L38" t="s">
        <v>17</v>
      </c>
      <c r="M38">
        <v>0.45</v>
      </c>
      <c r="N38" t="s">
        <v>155</v>
      </c>
      <c r="O38" t="str">
        <f t="shared" si="0"/>
        <v>H</v>
      </c>
      <c r="P38" s="5">
        <v>2.8297940402076822</v>
      </c>
    </row>
    <row r="39" spans="1:16" x14ac:dyDescent="0.25">
      <c r="A39" t="s">
        <v>22</v>
      </c>
      <c r="B39" t="s">
        <v>594</v>
      </c>
      <c r="C39" t="s">
        <v>113</v>
      </c>
      <c r="D39" t="s">
        <v>13</v>
      </c>
      <c r="E39" t="s">
        <v>14</v>
      </c>
      <c r="F39" s="3">
        <v>44432</v>
      </c>
      <c r="G39" t="s">
        <v>114</v>
      </c>
      <c r="H39">
        <v>5</v>
      </c>
      <c r="I39" s="5">
        <v>7.1239966254508724</v>
      </c>
      <c r="J39">
        <v>750000000</v>
      </c>
      <c r="K39">
        <v>0.01</v>
      </c>
      <c r="L39" t="s">
        <v>17</v>
      </c>
      <c r="M39">
        <v>0.45</v>
      </c>
      <c r="N39" t="s">
        <v>155</v>
      </c>
      <c r="O39" t="str">
        <f t="shared" si="0"/>
        <v>H</v>
      </c>
      <c r="P39" s="5">
        <v>1.0221656623889033E-2</v>
      </c>
    </row>
    <row r="40" spans="1:16" x14ac:dyDescent="0.25">
      <c r="A40" t="s">
        <v>22</v>
      </c>
      <c r="B40" t="s">
        <v>594</v>
      </c>
      <c r="C40" t="s">
        <v>115</v>
      </c>
      <c r="D40" t="s">
        <v>13</v>
      </c>
      <c r="E40" t="s">
        <v>14</v>
      </c>
      <c r="F40" s="3">
        <v>44859</v>
      </c>
      <c r="G40" t="s">
        <v>116</v>
      </c>
      <c r="H40">
        <v>5</v>
      </c>
      <c r="I40" s="5">
        <v>16.044698789155309</v>
      </c>
      <c r="J40">
        <v>750000000</v>
      </c>
      <c r="K40">
        <v>3</v>
      </c>
      <c r="L40" t="s">
        <v>17</v>
      </c>
      <c r="M40">
        <v>0.45</v>
      </c>
      <c r="N40" t="s">
        <v>155</v>
      </c>
      <c r="O40" t="str">
        <f t="shared" si="0"/>
        <v>H</v>
      </c>
      <c r="P40" s="5">
        <v>2.9519133318245778</v>
      </c>
    </row>
    <row r="41" spans="1:16" x14ac:dyDescent="0.25">
      <c r="A41" t="s">
        <v>22</v>
      </c>
      <c r="B41" t="s">
        <v>594</v>
      </c>
      <c r="C41" t="s">
        <v>113</v>
      </c>
      <c r="D41" t="s">
        <v>13</v>
      </c>
      <c r="E41" t="s">
        <v>14</v>
      </c>
      <c r="F41" s="3">
        <v>44432</v>
      </c>
      <c r="G41" t="s">
        <v>114</v>
      </c>
      <c r="H41">
        <v>5</v>
      </c>
      <c r="I41" s="5">
        <v>7.1239966254508724</v>
      </c>
      <c r="J41">
        <v>750000000</v>
      </c>
      <c r="K41">
        <v>0.01</v>
      </c>
      <c r="L41" t="s">
        <v>17</v>
      </c>
      <c r="M41">
        <v>0.45</v>
      </c>
      <c r="N41" t="s">
        <v>155</v>
      </c>
      <c r="O41" t="str">
        <f t="shared" si="0"/>
        <v>H</v>
      </c>
      <c r="P41" s="5">
        <v>1.0221656623889033E-2</v>
      </c>
    </row>
    <row r="42" spans="1:16" x14ac:dyDescent="0.25">
      <c r="A42" t="s">
        <v>22</v>
      </c>
      <c r="B42" t="s">
        <v>594</v>
      </c>
      <c r="C42" t="s">
        <v>113</v>
      </c>
      <c r="D42" t="s">
        <v>13</v>
      </c>
      <c r="E42" t="s">
        <v>14</v>
      </c>
      <c r="F42" s="3">
        <v>44432</v>
      </c>
      <c r="G42" t="s">
        <v>114</v>
      </c>
      <c r="H42">
        <v>5</v>
      </c>
      <c r="I42" s="5">
        <v>7.1239966254508724</v>
      </c>
      <c r="J42">
        <v>750000000</v>
      </c>
      <c r="K42">
        <v>0.01</v>
      </c>
      <c r="L42" t="s">
        <v>17</v>
      </c>
      <c r="M42">
        <v>0.45</v>
      </c>
      <c r="N42" t="s">
        <v>155</v>
      </c>
      <c r="O42" t="str">
        <f t="shared" si="0"/>
        <v>H</v>
      </c>
      <c r="P42" s="5">
        <v>1.0221656623889033E-2</v>
      </c>
    </row>
    <row r="43" spans="1:16" x14ac:dyDescent="0.25">
      <c r="A43" t="s">
        <v>25</v>
      </c>
      <c r="B43" t="s">
        <v>594</v>
      </c>
      <c r="C43" t="s">
        <v>118</v>
      </c>
      <c r="D43" t="s">
        <v>13</v>
      </c>
      <c r="E43" t="s">
        <v>18</v>
      </c>
      <c r="F43" s="3">
        <v>45166</v>
      </c>
      <c r="G43" t="s">
        <v>119</v>
      </c>
      <c r="H43">
        <v>5</v>
      </c>
      <c r="I43" s="5">
        <v>16.755396175767469</v>
      </c>
      <c r="J43">
        <v>1250000000</v>
      </c>
      <c r="K43">
        <v>3.375</v>
      </c>
      <c r="L43" t="s">
        <v>17</v>
      </c>
      <c r="M43">
        <v>0.45</v>
      </c>
      <c r="N43" t="s">
        <v>155</v>
      </c>
      <c r="O43" t="str">
        <f t="shared" si="0"/>
        <v>H</v>
      </c>
      <c r="P43" s="5">
        <v>3.2720451009001756</v>
      </c>
    </row>
    <row r="44" spans="1:16" x14ac:dyDescent="0.25">
      <c r="A44" t="s">
        <v>25</v>
      </c>
      <c r="B44" t="s">
        <v>594</v>
      </c>
      <c r="C44" t="s">
        <v>120</v>
      </c>
      <c r="D44" t="s">
        <v>13</v>
      </c>
      <c r="E44" t="s">
        <v>18</v>
      </c>
      <c r="F44" s="3">
        <v>44635</v>
      </c>
      <c r="G44" t="s">
        <v>121</v>
      </c>
      <c r="H44">
        <v>5</v>
      </c>
      <c r="I44" s="5">
        <v>5.7374833841083159</v>
      </c>
      <c r="J44">
        <v>1500000000</v>
      </c>
      <c r="K44">
        <v>0.5</v>
      </c>
      <c r="L44" t="s">
        <v>117</v>
      </c>
      <c r="M44">
        <v>0.45</v>
      </c>
      <c r="N44" t="s">
        <v>155</v>
      </c>
      <c r="O44" t="str">
        <f t="shared" si="0"/>
        <v>H</v>
      </c>
      <c r="P44" s="5">
        <v>0.51304414744888793</v>
      </c>
    </row>
    <row r="45" spans="1:16" x14ac:dyDescent="0.25">
      <c r="A45" t="s">
        <v>25</v>
      </c>
      <c r="B45" t="s">
        <v>594</v>
      </c>
      <c r="C45" t="s">
        <v>122</v>
      </c>
      <c r="D45" t="s">
        <v>13</v>
      </c>
      <c r="E45" t="s">
        <v>18</v>
      </c>
      <c r="F45" s="3">
        <v>45530</v>
      </c>
      <c r="G45" t="s">
        <v>123</v>
      </c>
      <c r="H45">
        <v>5</v>
      </c>
      <c r="I45" s="5">
        <v>24.142463536979609</v>
      </c>
      <c r="J45">
        <v>1250000000</v>
      </c>
      <c r="K45">
        <v>2.625</v>
      </c>
      <c r="L45" t="s">
        <v>117</v>
      </c>
      <c r="M45">
        <v>0.45</v>
      </c>
      <c r="N45" t="s">
        <v>155</v>
      </c>
      <c r="O45" t="str">
        <f t="shared" si="0"/>
        <v>H</v>
      </c>
      <c r="P45" s="5">
        <v>2.60986279578445</v>
      </c>
    </row>
    <row r="46" spans="1:16" x14ac:dyDescent="0.25">
      <c r="A46" t="s">
        <v>25</v>
      </c>
      <c r="B46" t="s">
        <v>594</v>
      </c>
      <c r="C46" t="s">
        <v>124</v>
      </c>
      <c r="D46" t="s">
        <v>13</v>
      </c>
      <c r="E46" t="s">
        <v>14</v>
      </c>
      <c r="F46" s="3">
        <v>45677</v>
      </c>
      <c r="G46" t="s">
        <v>125</v>
      </c>
      <c r="H46">
        <v>5</v>
      </c>
      <c r="I46" s="5">
        <v>27.954435956823609</v>
      </c>
      <c r="J46">
        <v>1250000000</v>
      </c>
      <c r="K46">
        <v>2.75</v>
      </c>
      <c r="L46" t="s">
        <v>117</v>
      </c>
      <c r="M46">
        <v>0.45</v>
      </c>
      <c r="N46" t="s">
        <v>155</v>
      </c>
      <c r="O46" t="str">
        <f t="shared" si="0"/>
        <v>H</v>
      </c>
      <c r="P46" s="5">
        <v>2.7244042223311982</v>
      </c>
    </row>
    <row r="47" spans="1:16" x14ac:dyDescent="0.25">
      <c r="A47" t="s">
        <v>25</v>
      </c>
      <c r="B47" t="s">
        <v>594</v>
      </c>
      <c r="C47" t="s">
        <v>126</v>
      </c>
      <c r="D47" t="s">
        <v>13</v>
      </c>
      <c r="E47" t="s">
        <v>127</v>
      </c>
      <c r="F47" s="3">
        <v>45825</v>
      </c>
      <c r="G47" t="s">
        <v>128</v>
      </c>
      <c r="H47">
        <v>5</v>
      </c>
      <c r="I47" s="5">
        <v>31.451795557339619</v>
      </c>
      <c r="J47">
        <v>750000000</v>
      </c>
      <c r="K47">
        <v>2.5</v>
      </c>
      <c r="L47" t="s">
        <v>117</v>
      </c>
      <c r="M47">
        <v>0.45</v>
      </c>
      <c r="N47" t="s">
        <v>155</v>
      </c>
      <c r="O47" t="str">
        <f t="shared" si="0"/>
        <v>H</v>
      </c>
      <c r="P47" s="5">
        <v>2.5124239363653267</v>
      </c>
    </row>
    <row r="48" spans="1:16" x14ac:dyDescent="0.25">
      <c r="A48" t="s">
        <v>35</v>
      </c>
      <c r="B48" t="s">
        <v>594</v>
      </c>
      <c r="C48" t="s">
        <v>129</v>
      </c>
      <c r="D48" t="s">
        <v>13</v>
      </c>
      <c r="E48" t="s">
        <v>14</v>
      </c>
      <c r="F48" s="3">
        <v>44433</v>
      </c>
      <c r="G48" t="s">
        <v>130</v>
      </c>
      <c r="H48">
        <v>5</v>
      </c>
      <c r="I48" s="5">
        <v>18.65251672833335</v>
      </c>
      <c r="J48">
        <v>750000000</v>
      </c>
      <c r="K48">
        <v>0.01</v>
      </c>
      <c r="L48" t="s">
        <v>101</v>
      </c>
      <c r="M48">
        <v>0.45</v>
      </c>
      <c r="N48" t="s">
        <v>155</v>
      </c>
      <c r="O48" t="str">
        <f t="shared" si="0"/>
        <v>K</v>
      </c>
      <c r="P48" s="5">
        <v>1.0229341844145748E-2</v>
      </c>
    </row>
    <row r="49" spans="1:16" x14ac:dyDescent="0.25">
      <c r="A49" t="s">
        <v>35</v>
      </c>
      <c r="B49" t="s">
        <v>594</v>
      </c>
      <c r="C49" t="s">
        <v>129</v>
      </c>
      <c r="D49" t="s">
        <v>13</v>
      </c>
      <c r="E49" t="s">
        <v>14</v>
      </c>
      <c r="F49" s="3">
        <v>44433</v>
      </c>
      <c r="G49" t="s">
        <v>130</v>
      </c>
      <c r="H49">
        <v>5</v>
      </c>
      <c r="I49" s="5">
        <v>18.65251672833335</v>
      </c>
      <c r="J49">
        <v>750000000</v>
      </c>
      <c r="K49">
        <v>0.01</v>
      </c>
      <c r="L49" t="s">
        <v>117</v>
      </c>
      <c r="M49">
        <v>0.45</v>
      </c>
      <c r="N49" t="s">
        <v>155</v>
      </c>
      <c r="O49" t="str">
        <f t="shared" si="0"/>
        <v>H</v>
      </c>
      <c r="P49" s="5">
        <v>1.0229341844145748E-2</v>
      </c>
    </row>
    <row r="50" spans="1:16" x14ac:dyDescent="0.25">
      <c r="A50" t="s">
        <v>42</v>
      </c>
      <c r="B50" t="s">
        <v>594</v>
      </c>
      <c r="C50" t="s">
        <v>131</v>
      </c>
      <c r="D50" t="s">
        <v>13</v>
      </c>
      <c r="E50" t="s">
        <v>18</v>
      </c>
      <c r="F50" s="3">
        <v>44875</v>
      </c>
      <c r="G50" t="s">
        <v>132</v>
      </c>
      <c r="H50">
        <v>5</v>
      </c>
      <c r="I50" s="5">
        <v>21.93654028962435</v>
      </c>
      <c r="J50">
        <v>1000000000</v>
      </c>
      <c r="K50">
        <v>3</v>
      </c>
      <c r="L50" t="s">
        <v>117</v>
      </c>
      <c r="M50">
        <v>0.45</v>
      </c>
      <c r="N50" t="s">
        <v>155</v>
      </c>
      <c r="O50" t="str">
        <f t="shared" si="0"/>
        <v>H</v>
      </c>
      <c r="P50" s="5">
        <v>2.9507809733642838</v>
      </c>
    </row>
    <row r="51" spans="1:16" x14ac:dyDescent="0.25">
      <c r="A51" t="s">
        <v>42</v>
      </c>
      <c r="B51" t="s">
        <v>594</v>
      </c>
      <c r="C51" t="s">
        <v>133</v>
      </c>
      <c r="D51" t="s">
        <v>13</v>
      </c>
      <c r="E51" t="s">
        <v>18</v>
      </c>
      <c r="F51" s="3">
        <v>44824</v>
      </c>
      <c r="G51" t="s">
        <v>134</v>
      </c>
      <c r="H51">
        <v>5</v>
      </c>
      <c r="I51" s="5">
        <v>16.773687263091599</v>
      </c>
      <c r="J51">
        <v>1000000000</v>
      </c>
      <c r="K51">
        <v>2.25</v>
      </c>
      <c r="L51" t="s">
        <v>117</v>
      </c>
      <c r="M51">
        <v>0.45</v>
      </c>
      <c r="N51" t="s">
        <v>155</v>
      </c>
      <c r="O51" t="str">
        <f t="shared" si="0"/>
        <v>H</v>
      </c>
      <c r="P51" s="5">
        <v>2.2505626406601653</v>
      </c>
    </row>
    <row r="52" spans="1:16" x14ac:dyDescent="0.25">
      <c r="A52" t="s">
        <v>42</v>
      </c>
      <c r="B52" t="s">
        <v>594</v>
      </c>
      <c r="C52" t="s">
        <v>135</v>
      </c>
      <c r="D52" t="s">
        <v>13</v>
      </c>
      <c r="E52" t="s">
        <v>14</v>
      </c>
      <c r="F52" s="3">
        <v>45243</v>
      </c>
      <c r="G52" t="s">
        <v>136</v>
      </c>
      <c r="H52">
        <v>5</v>
      </c>
      <c r="I52" s="5">
        <v>32.480259152231717</v>
      </c>
      <c r="J52">
        <v>500000000</v>
      </c>
      <c r="K52">
        <v>3.375</v>
      </c>
      <c r="L52" t="s">
        <v>117</v>
      </c>
      <c r="M52">
        <v>0.45</v>
      </c>
      <c r="N52" t="s">
        <v>155</v>
      </c>
      <c r="O52" t="str">
        <f t="shared" si="0"/>
        <v>H</v>
      </c>
      <c r="P52" s="5">
        <v>3.2782745105657574</v>
      </c>
    </row>
    <row r="53" spans="1:16" x14ac:dyDescent="0.25">
      <c r="A53" t="s">
        <v>71</v>
      </c>
      <c r="B53" t="s">
        <v>594</v>
      </c>
      <c r="C53" t="s">
        <v>137</v>
      </c>
      <c r="D53" t="s">
        <v>13</v>
      </c>
      <c r="E53" t="s">
        <v>14</v>
      </c>
      <c r="F53" s="3">
        <v>44580</v>
      </c>
      <c r="G53" t="s">
        <v>138</v>
      </c>
      <c r="H53">
        <v>5</v>
      </c>
      <c r="I53" s="5">
        <v>35.27260125229742</v>
      </c>
      <c r="J53">
        <v>500000000</v>
      </c>
      <c r="K53">
        <v>0.01</v>
      </c>
      <c r="L53" t="s">
        <v>117</v>
      </c>
      <c r="M53">
        <v>0.45</v>
      </c>
      <c r="N53" t="s">
        <v>155</v>
      </c>
      <c r="O53" t="str">
        <f t="shared" si="0"/>
        <v>H</v>
      </c>
      <c r="P53" s="5">
        <v>1.0343347417524733E-2</v>
      </c>
    </row>
    <row r="54" spans="1:16" x14ac:dyDescent="0.25">
      <c r="A54" t="s">
        <v>71</v>
      </c>
      <c r="B54" t="s">
        <v>594</v>
      </c>
      <c r="C54" t="s">
        <v>139</v>
      </c>
      <c r="D54" t="s">
        <v>13</v>
      </c>
      <c r="E54" t="s">
        <v>14</v>
      </c>
      <c r="F54" s="3">
        <v>44742</v>
      </c>
      <c r="G54" t="s">
        <v>140</v>
      </c>
      <c r="H54">
        <v>5</v>
      </c>
      <c r="I54" s="5">
        <v>36.400962314156239</v>
      </c>
      <c r="J54">
        <v>500000000</v>
      </c>
      <c r="K54">
        <v>2</v>
      </c>
      <c r="L54" t="s">
        <v>117</v>
      </c>
      <c r="M54">
        <v>0.45</v>
      </c>
      <c r="N54" t="s">
        <v>155</v>
      </c>
      <c r="O54" t="str">
        <f t="shared" si="0"/>
        <v>H</v>
      </c>
      <c r="P54" s="5">
        <v>2.015529655999476</v>
      </c>
    </row>
    <row r="55" spans="1:16" x14ac:dyDescent="0.25">
      <c r="A55" t="s">
        <v>71</v>
      </c>
      <c r="B55" t="s">
        <v>594</v>
      </c>
      <c r="C55" t="s">
        <v>141</v>
      </c>
      <c r="D55" t="s">
        <v>13</v>
      </c>
      <c r="E55" t="s">
        <v>14</v>
      </c>
      <c r="F55" s="3">
        <v>45104</v>
      </c>
      <c r="G55" t="s">
        <v>142</v>
      </c>
      <c r="H55">
        <v>5</v>
      </c>
      <c r="I55" s="5">
        <v>33.242056443137812</v>
      </c>
      <c r="J55">
        <v>500000000</v>
      </c>
      <c r="K55">
        <v>3.375</v>
      </c>
      <c r="L55" t="s">
        <v>117</v>
      </c>
      <c r="M55">
        <v>0.45</v>
      </c>
      <c r="N55" t="s">
        <v>155</v>
      </c>
      <c r="O55" t="str">
        <f t="shared" si="0"/>
        <v>H</v>
      </c>
      <c r="P55" s="5">
        <v>3.2991847347944239</v>
      </c>
    </row>
    <row r="56" spans="1:16" x14ac:dyDescent="0.25">
      <c r="A56" t="s">
        <v>143</v>
      </c>
      <c r="B56" t="s">
        <v>594</v>
      </c>
      <c r="C56" t="s">
        <v>144</v>
      </c>
      <c r="D56" t="s">
        <v>13</v>
      </c>
      <c r="E56" t="s">
        <v>14</v>
      </c>
      <c r="F56" s="3">
        <v>45062</v>
      </c>
      <c r="G56" t="s">
        <v>145</v>
      </c>
      <c r="H56">
        <v>5</v>
      </c>
      <c r="I56" s="5">
        <v>19.92686170552679</v>
      </c>
      <c r="J56">
        <v>500000000</v>
      </c>
      <c r="K56">
        <v>3</v>
      </c>
      <c r="L56" t="s">
        <v>117</v>
      </c>
      <c r="M56">
        <v>0.45</v>
      </c>
      <c r="N56" t="s">
        <v>155</v>
      </c>
      <c r="O56" t="str">
        <f t="shared" si="0"/>
        <v>H</v>
      </c>
      <c r="P56" s="5">
        <v>2.9465785312288215</v>
      </c>
    </row>
    <row r="57" spans="1:16" x14ac:dyDescent="0.25">
      <c r="A57" t="s">
        <v>143</v>
      </c>
      <c r="B57" t="s">
        <v>594</v>
      </c>
      <c r="C57" t="s">
        <v>146</v>
      </c>
      <c r="D57" t="s">
        <v>13</v>
      </c>
      <c r="E57" t="s">
        <v>14</v>
      </c>
      <c r="F57" s="3">
        <v>44650</v>
      </c>
      <c r="G57" t="s">
        <v>147</v>
      </c>
      <c r="H57">
        <v>5</v>
      </c>
      <c r="I57" s="5">
        <v>11.8165770603143</v>
      </c>
      <c r="J57">
        <v>500000000</v>
      </c>
      <c r="K57">
        <v>0.75</v>
      </c>
      <c r="L57" t="s">
        <v>117</v>
      </c>
      <c r="M57">
        <v>0.45</v>
      </c>
      <c r="N57" t="s">
        <v>155</v>
      </c>
      <c r="O57" t="str">
        <f t="shared" si="0"/>
        <v>H</v>
      </c>
      <c r="P57" s="5">
        <v>0.76791546786529741</v>
      </c>
    </row>
    <row r="58" spans="1:16" x14ac:dyDescent="0.25">
      <c r="A58" t="s">
        <v>74</v>
      </c>
      <c r="B58" t="s">
        <v>594</v>
      </c>
      <c r="C58" t="s">
        <v>148</v>
      </c>
      <c r="D58" t="s">
        <v>13</v>
      </c>
      <c r="E58" t="s">
        <v>14</v>
      </c>
      <c r="F58" s="3">
        <v>45544</v>
      </c>
      <c r="G58" t="s">
        <v>149</v>
      </c>
      <c r="H58">
        <v>5</v>
      </c>
      <c r="I58" s="5">
        <v>22.454151897804259</v>
      </c>
      <c r="J58">
        <v>1000000000</v>
      </c>
      <c r="K58">
        <v>2.75</v>
      </c>
      <c r="L58" t="s">
        <v>117</v>
      </c>
      <c r="M58">
        <v>0.45</v>
      </c>
      <c r="N58" t="s">
        <v>155</v>
      </c>
      <c r="O58" t="str">
        <f t="shared" si="0"/>
        <v>H</v>
      </c>
      <c r="P58" s="5">
        <v>2.7218560088683019</v>
      </c>
    </row>
    <row r="59" spans="1:16" x14ac:dyDescent="0.25">
      <c r="A59" t="s">
        <v>77</v>
      </c>
      <c r="B59" t="s">
        <v>594</v>
      </c>
      <c r="C59" t="s">
        <v>150</v>
      </c>
      <c r="D59" t="s">
        <v>13</v>
      </c>
      <c r="E59" t="s">
        <v>18</v>
      </c>
      <c r="F59" s="3">
        <v>44580</v>
      </c>
      <c r="G59" t="s">
        <v>151</v>
      </c>
      <c r="H59">
        <v>5</v>
      </c>
      <c r="I59" s="5">
        <v>11.93400237315919</v>
      </c>
      <c r="J59">
        <v>1250000000</v>
      </c>
      <c r="K59">
        <v>0.01</v>
      </c>
      <c r="L59" t="s">
        <v>117</v>
      </c>
      <c r="M59">
        <v>0.45</v>
      </c>
      <c r="N59" t="s">
        <v>155</v>
      </c>
      <c r="O59" t="str">
        <f t="shared" si="0"/>
        <v>H</v>
      </c>
      <c r="P59" s="5">
        <v>1.0427691778286417E-2</v>
      </c>
    </row>
    <row r="60" spans="1:16" x14ac:dyDescent="0.25">
      <c r="A60" t="s">
        <v>45</v>
      </c>
      <c r="B60" t="s">
        <v>594</v>
      </c>
      <c r="C60" t="s">
        <v>152</v>
      </c>
      <c r="D60" t="s">
        <v>27</v>
      </c>
      <c r="E60" t="s">
        <v>28</v>
      </c>
      <c r="F60" s="3">
        <v>45456</v>
      </c>
      <c r="G60" t="s">
        <v>153</v>
      </c>
      <c r="H60">
        <v>5</v>
      </c>
      <c r="I60" s="5">
        <v>22.578012793875811</v>
      </c>
      <c r="J60">
        <v>950000000</v>
      </c>
      <c r="K60">
        <v>3.125</v>
      </c>
      <c r="L60" t="s">
        <v>101</v>
      </c>
      <c r="M60">
        <v>0.45</v>
      </c>
      <c r="N60" t="s">
        <v>154</v>
      </c>
      <c r="O60" t="str">
        <f t="shared" si="0"/>
        <v>K</v>
      </c>
      <c r="P60" s="5">
        <v>3.0461355505950931</v>
      </c>
    </row>
    <row r="61" spans="1:16" x14ac:dyDescent="0.25">
      <c r="A61" t="s">
        <v>45</v>
      </c>
      <c r="B61" t="s">
        <v>594</v>
      </c>
      <c r="C61" t="s">
        <v>156</v>
      </c>
      <c r="D61" t="s">
        <v>13</v>
      </c>
      <c r="E61" t="s">
        <v>18</v>
      </c>
      <c r="F61" s="3">
        <v>45677</v>
      </c>
      <c r="G61" t="s">
        <v>157</v>
      </c>
      <c r="H61">
        <v>5</v>
      </c>
      <c r="I61" s="5">
        <v>25.55683370365001</v>
      </c>
      <c r="J61">
        <v>1000000000</v>
      </c>
      <c r="K61">
        <v>2.625</v>
      </c>
      <c r="L61" t="s">
        <v>117</v>
      </c>
      <c r="M61">
        <v>0.45</v>
      </c>
      <c r="N61" t="s">
        <v>200</v>
      </c>
      <c r="O61" t="str">
        <f t="shared" si="0"/>
        <v>H</v>
      </c>
      <c r="P61" s="5">
        <v>2.6181143592352112</v>
      </c>
    </row>
    <row r="62" spans="1:16" x14ac:dyDescent="0.25">
      <c r="A62" t="s">
        <v>158</v>
      </c>
      <c r="B62" t="s">
        <v>594</v>
      </c>
      <c r="C62" t="s">
        <v>159</v>
      </c>
      <c r="D62" t="s">
        <v>13</v>
      </c>
      <c r="E62" t="s">
        <v>14</v>
      </c>
      <c r="F62" s="3">
        <v>45545</v>
      </c>
      <c r="G62" t="s">
        <v>160</v>
      </c>
      <c r="H62">
        <v>5</v>
      </c>
      <c r="I62" s="5">
        <v>31.80735926962943</v>
      </c>
      <c r="J62">
        <v>500000000</v>
      </c>
      <c r="K62">
        <v>2.75</v>
      </c>
      <c r="L62" t="s">
        <v>117</v>
      </c>
      <c r="M62">
        <v>0.45</v>
      </c>
      <c r="N62" t="s">
        <v>200</v>
      </c>
      <c r="O62" t="str">
        <f t="shared" si="0"/>
        <v>H</v>
      </c>
      <c r="P62" s="5">
        <v>2.7333267070867704</v>
      </c>
    </row>
    <row r="63" spans="1:16" x14ac:dyDescent="0.25">
      <c r="A63" t="s">
        <v>50</v>
      </c>
      <c r="B63" t="s">
        <v>594</v>
      </c>
      <c r="C63" t="s">
        <v>161</v>
      </c>
      <c r="D63" t="s">
        <v>13</v>
      </c>
      <c r="E63" t="s">
        <v>14</v>
      </c>
      <c r="F63" s="3">
        <v>44880</v>
      </c>
      <c r="G63" t="s">
        <v>162</v>
      </c>
      <c r="H63">
        <v>5</v>
      </c>
      <c r="I63" s="5">
        <v>8.2169160321721506</v>
      </c>
      <c r="J63">
        <v>1000000000</v>
      </c>
      <c r="K63">
        <v>3</v>
      </c>
      <c r="L63" t="s">
        <v>117</v>
      </c>
      <c r="M63">
        <v>0.45</v>
      </c>
      <c r="N63" t="s">
        <v>200</v>
      </c>
      <c r="O63" t="str">
        <f t="shared" si="0"/>
        <v>H</v>
      </c>
      <c r="P63" s="5">
        <v>2.9490550736034997</v>
      </c>
    </row>
    <row r="64" spans="1:16" x14ac:dyDescent="0.25">
      <c r="A64" t="s">
        <v>50</v>
      </c>
      <c r="B64" t="s">
        <v>594</v>
      </c>
      <c r="C64" t="s">
        <v>163</v>
      </c>
      <c r="D64" t="s">
        <v>13</v>
      </c>
      <c r="E64" t="s">
        <v>14</v>
      </c>
      <c r="F64" s="3">
        <v>45253</v>
      </c>
      <c r="G64" t="s">
        <v>164</v>
      </c>
      <c r="H64">
        <v>5</v>
      </c>
      <c r="I64" s="5">
        <v>17.415954734871359</v>
      </c>
      <c r="J64">
        <v>750000000</v>
      </c>
      <c r="K64">
        <v>3.25</v>
      </c>
      <c r="L64" t="s">
        <v>117</v>
      </c>
      <c r="M64">
        <v>0.45</v>
      </c>
      <c r="N64" t="s">
        <v>200</v>
      </c>
      <c r="O64" t="str">
        <f t="shared" si="0"/>
        <v>H</v>
      </c>
      <c r="P64" s="5">
        <v>3.1601413798635791</v>
      </c>
    </row>
    <row r="65" spans="1:16" x14ac:dyDescent="0.25">
      <c r="A65" t="s">
        <v>53</v>
      </c>
      <c r="B65" t="s">
        <v>594</v>
      </c>
      <c r="C65" t="s">
        <v>165</v>
      </c>
      <c r="D65" t="s">
        <v>13</v>
      </c>
      <c r="E65" t="s">
        <v>14</v>
      </c>
      <c r="F65" s="3">
        <v>44462</v>
      </c>
      <c r="G65" t="s">
        <v>166</v>
      </c>
      <c r="H65">
        <v>5</v>
      </c>
      <c r="I65" s="5">
        <v>8.2448152743749574</v>
      </c>
      <c r="J65">
        <v>500000000</v>
      </c>
      <c r="K65">
        <v>0.01</v>
      </c>
      <c r="L65" t="s">
        <v>117</v>
      </c>
      <c r="M65">
        <v>0.45</v>
      </c>
      <c r="N65" t="s">
        <v>200</v>
      </c>
      <c r="O65" t="str">
        <f t="shared" si="0"/>
        <v>H</v>
      </c>
      <c r="P65" s="5">
        <v>1.0240550531996601E-2</v>
      </c>
    </row>
    <row r="66" spans="1:16" x14ac:dyDescent="0.25">
      <c r="A66" t="s">
        <v>53</v>
      </c>
      <c r="B66" t="s">
        <v>594</v>
      </c>
      <c r="C66" t="s">
        <v>167</v>
      </c>
      <c r="D66" t="s">
        <v>13</v>
      </c>
      <c r="E66" t="s">
        <v>14</v>
      </c>
      <c r="F66" s="3">
        <v>44824</v>
      </c>
      <c r="G66" t="s">
        <v>134</v>
      </c>
      <c r="H66">
        <v>5</v>
      </c>
      <c r="I66" s="5">
        <v>17.901640333341408</v>
      </c>
      <c r="J66">
        <v>500000000</v>
      </c>
      <c r="K66">
        <v>2.25</v>
      </c>
      <c r="L66" t="s">
        <v>117</v>
      </c>
      <c r="M66">
        <v>0.45</v>
      </c>
      <c r="N66" t="s">
        <v>200</v>
      </c>
      <c r="O66" t="str">
        <f t="shared" si="0"/>
        <v>H</v>
      </c>
      <c r="P66" s="5">
        <v>2.2506977162920507</v>
      </c>
    </row>
    <row r="67" spans="1:16" x14ac:dyDescent="0.25">
      <c r="A67" t="s">
        <v>53</v>
      </c>
      <c r="B67" t="s">
        <v>594</v>
      </c>
      <c r="C67" t="s">
        <v>168</v>
      </c>
      <c r="D67" t="s">
        <v>13</v>
      </c>
      <c r="E67" t="s">
        <v>14</v>
      </c>
      <c r="F67" s="3">
        <v>45729</v>
      </c>
      <c r="G67" t="s">
        <v>169</v>
      </c>
      <c r="H67">
        <v>5</v>
      </c>
      <c r="I67" s="5">
        <v>32.451891966315657</v>
      </c>
      <c r="J67">
        <v>500000000</v>
      </c>
      <c r="K67">
        <v>2.5</v>
      </c>
      <c r="L67" t="s">
        <v>117</v>
      </c>
      <c r="M67">
        <v>0.45</v>
      </c>
      <c r="N67" t="s">
        <v>200</v>
      </c>
      <c r="O67" t="str">
        <f t="shared" ref="O67:O130" si="1">MID(L67,7,1)</f>
        <v>H</v>
      </c>
      <c r="P67" s="5">
        <v>2.5162803337594233</v>
      </c>
    </row>
    <row r="68" spans="1:16" x14ac:dyDescent="0.25">
      <c r="A68" t="s">
        <v>11</v>
      </c>
      <c r="B68" t="s">
        <v>594</v>
      </c>
      <c r="C68" t="s">
        <v>170</v>
      </c>
      <c r="D68" t="s">
        <v>13</v>
      </c>
      <c r="E68" t="s">
        <v>14</v>
      </c>
      <c r="F68" s="3">
        <v>44467</v>
      </c>
      <c r="G68" t="s">
        <v>171</v>
      </c>
      <c r="H68">
        <v>5</v>
      </c>
      <c r="I68" s="5">
        <v>9.5400227540517335</v>
      </c>
      <c r="J68">
        <v>500000000</v>
      </c>
      <c r="K68">
        <v>0.01</v>
      </c>
      <c r="L68" t="s">
        <v>117</v>
      </c>
      <c r="M68">
        <v>0.45</v>
      </c>
      <c r="N68" t="s">
        <v>200</v>
      </c>
      <c r="O68" t="str">
        <f t="shared" si="1"/>
        <v>H</v>
      </c>
      <c r="P68" s="5">
        <v>1.0247791600910005E-2</v>
      </c>
    </row>
    <row r="69" spans="1:16" x14ac:dyDescent="0.25">
      <c r="A69" t="s">
        <v>11</v>
      </c>
      <c r="B69" t="s">
        <v>594</v>
      </c>
      <c r="C69" t="s">
        <v>172</v>
      </c>
      <c r="D69" t="s">
        <v>13</v>
      </c>
      <c r="E69" t="s">
        <v>18</v>
      </c>
      <c r="F69" s="3">
        <v>45707</v>
      </c>
      <c r="G69" t="s">
        <v>173</v>
      </c>
      <c r="H69">
        <v>5</v>
      </c>
      <c r="I69" s="5">
        <v>30.724039791630378</v>
      </c>
      <c r="J69">
        <v>1250000000</v>
      </c>
      <c r="K69">
        <v>2.625</v>
      </c>
      <c r="L69" t="s">
        <v>117</v>
      </c>
      <c r="M69">
        <v>0.45</v>
      </c>
      <c r="N69" t="s">
        <v>200</v>
      </c>
      <c r="O69" t="str">
        <f t="shared" si="1"/>
        <v>H</v>
      </c>
      <c r="P69" s="5">
        <v>2.6232031058724776</v>
      </c>
    </row>
    <row r="70" spans="1:16" x14ac:dyDescent="0.25">
      <c r="A70" t="s">
        <v>11</v>
      </c>
      <c r="B70" t="s">
        <v>594</v>
      </c>
      <c r="C70" t="s">
        <v>174</v>
      </c>
      <c r="D70" t="s">
        <v>27</v>
      </c>
      <c r="E70" t="s">
        <v>33</v>
      </c>
      <c r="F70" s="3">
        <v>44615</v>
      </c>
      <c r="G70" t="s">
        <v>175</v>
      </c>
      <c r="H70">
        <v>5</v>
      </c>
      <c r="I70" s="5">
        <v>12.07384335936419</v>
      </c>
      <c r="J70">
        <v>1000000000</v>
      </c>
      <c r="K70">
        <v>0.5</v>
      </c>
      <c r="L70" t="s">
        <v>117</v>
      </c>
      <c r="M70">
        <v>0.45</v>
      </c>
      <c r="N70" t="s">
        <v>154</v>
      </c>
      <c r="O70" t="str">
        <f t="shared" si="1"/>
        <v>H</v>
      </c>
      <c r="P70" s="5">
        <v>0.51310469388173963</v>
      </c>
    </row>
    <row r="71" spans="1:16" x14ac:dyDescent="0.25">
      <c r="A71" t="s">
        <v>11</v>
      </c>
      <c r="B71" t="s">
        <v>594</v>
      </c>
      <c r="C71" t="s">
        <v>176</v>
      </c>
      <c r="D71" t="s">
        <v>13</v>
      </c>
      <c r="E71" t="s">
        <v>14</v>
      </c>
      <c r="F71" s="3">
        <v>44719</v>
      </c>
      <c r="G71" t="s">
        <v>177</v>
      </c>
      <c r="H71">
        <v>5</v>
      </c>
      <c r="I71" s="5">
        <v>21.610118663982089</v>
      </c>
      <c r="J71">
        <v>500000000</v>
      </c>
      <c r="K71">
        <v>1.375</v>
      </c>
      <c r="L71" t="s">
        <v>117</v>
      </c>
      <c r="M71">
        <v>0.45</v>
      </c>
      <c r="N71" t="s">
        <v>200</v>
      </c>
      <c r="O71" t="str">
        <f t="shared" si="1"/>
        <v>H</v>
      </c>
      <c r="P71" s="5">
        <v>1.3964991037014844</v>
      </c>
    </row>
    <row r="72" spans="1:16" x14ac:dyDescent="0.25">
      <c r="A72" t="s">
        <v>178</v>
      </c>
      <c r="B72" t="s">
        <v>594</v>
      </c>
      <c r="C72" t="s">
        <v>179</v>
      </c>
      <c r="D72" t="s">
        <v>13</v>
      </c>
      <c r="E72" t="s">
        <v>14</v>
      </c>
      <c r="F72" s="3">
        <v>45258</v>
      </c>
      <c r="G72" t="s">
        <v>180</v>
      </c>
      <c r="H72">
        <v>5</v>
      </c>
      <c r="I72" s="5">
        <v>25.647985073617459</v>
      </c>
      <c r="J72">
        <v>600000000</v>
      </c>
      <c r="K72">
        <v>3.375</v>
      </c>
      <c r="L72" t="s">
        <v>117</v>
      </c>
      <c r="M72">
        <v>0.45</v>
      </c>
      <c r="N72" t="s">
        <v>200</v>
      </c>
      <c r="O72" t="str">
        <f t="shared" si="1"/>
        <v>H</v>
      </c>
      <c r="P72" s="5">
        <v>3.2762537130875415</v>
      </c>
    </row>
    <row r="73" spans="1:16" x14ac:dyDescent="0.25">
      <c r="A73" t="s">
        <v>56</v>
      </c>
      <c r="B73" t="s">
        <v>594</v>
      </c>
      <c r="C73" t="s">
        <v>184</v>
      </c>
      <c r="D73" t="s">
        <v>13</v>
      </c>
      <c r="E73" t="s">
        <v>14</v>
      </c>
      <c r="F73" s="3">
        <v>45574</v>
      </c>
      <c r="G73" t="s">
        <v>185</v>
      </c>
      <c r="H73">
        <v>6</v>
      </c>
      <c r="I73" s="5">
        <v>43.636364000983633</v>
      </c>
      <c r="J73">
        <v>500000000</v>
      </c>
      <c r="K73">
        <v>2.625</v>
      </c>
      <c r="L73" t="s">
        <v>183</v>
      </c>
      <c r="M73">
        <v>0.47</v>
      </c>
      <c r="N73" t="s">
        <v>201</v>
      </c>
      <c r="O73" t="str">
        <f t="shared" si="1"/>
        <v>H</v>
      </c>
      <c r="P73" s="5">
        <v>2.6215657488689819</v>
      </c>
    </row>
    <row r="74" spans="1:16" x14ac:dyDescent="0.25">
      <c r="A74" t="s">
        <v>56</v>
      </c>
      <c r="B74" t="s">
        <v>594</v>
      </c>
      <c r="C74" t="s">
        <v>186</v>
      </c>
      <c r="D74" t="s">
        <v>13</v>
      </c>
      <c r="E74" t="s">
        <v>14</v>
      </c>
      <c r="F74" s="3">
        <v>44132</v>
      </c>
      <c r="G74" t="s">
        <v>187</v>
      </c>
      <c r="H74">
        <v>6</v>
      </c>
      <c r="I74" s="5">
        <v>15.59226550120235</v>
      </c>
      <c r="J74">
        <v>500000000</v>
      </c>
      <c r="K74">
        <v>0.01</v>
      </c>
      <c r="L74" t="s">
        <v>183</v>
      </c>
      <c r="M74">
        <v>0.47</v>
      </c>
      <c r="N74" t="s">
        <v>201</v>
      </c>
      <c r="O74" t="str">
        <f t="shared" si="1"/>
        <v>H</v>
      </c>
      <c r="P74" s="5">
        <v>1.0216435179272898E-2</v>
      </c>
    </row>
    <row r="75" spans="1:16" x14ac:dyDescent="0.25">
      <c r="A75" t="s">
        <v>56</v>
      </c>
      <c r="B75" t="s">
        <v>594</v>
      </c>
      <c r="C75" t="s">
        <v>188</v>
      </c>
      <c r="D75" t="s">
        <v>13</v>
      </c>
      <c r="E75" t="s">
        <v>14</v>
      </c>
      <c r="F75" s="3">
        <v>45693</v>
      </c>
      <c r="G75" t="s">
        <v>189</v>
      </c>
      <c r="H75">
        <v>6</v>
      </c>
      <c r="I75" s="5">
        <v>51.082644444048697</v>
      </c>
      <c r="J75">
        <v>750000000</v>
      </c>
      <c r="K75">
        <v>3</v>
      </c>
      <c r="L75" t="s">
        <v>183</v>
      </c>
      <c r="M75">
        <v>0.47</v>
      </c>
      <c r="N75" t="s">
        <v>201</v>
      </c>
      <c r="O75" t="str">
        <f t="shared" si="1"/>
        <v>H</v>
      </c>
      <c r="P75" s="5">
        <v>2.9748181642397111</v>
      </c>
    </row>
    <row r="76" spans="1:16" x14ac:dyDescent="0.25">
      <c r="A76" t="s">
        <v>56</v>
      </c>
      <c r="B76" t="s">
        <v>594</v>
      </c>
      <c r="C76" t="s">
        <v>190</v>
      </c>
      <c r="D76" t="s">
        <v>13</v>
      </c>
      <c r="E76" t="s">
        <v>14</v>
      </c>
      <c r="F76" s="3">
        <v>45755</v>
      </c>
      <c r="G76" t="s">
        <v>191</v>
      </c>
      <c r="H76">
        <v>6</v>
      </c>
      <c r="I76" s="5">
        <v>44.592878013790923</v>
      </c>
      <c r="J76">
        <v>750000000</v>
      </c>
      <c r="K76">
        <v>2.75</v>
      </c>
      <c r="L76" t="s">
        <v>183</v>
      </c>
      <c r="M76">
        <v>0.47</v>
      </c>
      <c r="N76" t="s">
        <v>201</v>
      </c>
      <c r="O76" t="str">
        <f t="shared" si="1"/>
        <v>H</v>
      </c>
      <c r="P76" s="5">
        <v>2.7453603410236695</v>
      </c>
    </row>
    <row r="77" spans="1:16" x14ac:dyDescent="0.25">
      <c r="A77" t="s">
        <v>106</v>
      </c>
      <c r="B77" t="s">
        <v>594</v>
      </c>
      <c r="C77" t="s">
        <v>192</v>
      </c>
      <c r="D77" t="s">
        <v>13</v>
      </c>
      <c r="E77" t="s">
        <v>14</v>
      </c>
      <c r="F77" s="3">
        <v>45679</v>
      </c>
      <c r="G77" t="s">
        <v>193</v>
      </c>
      <c r="H77">
        <v>6</v>
      </c>
      <c r="I77" s="5">
        <v>31.414316125631409</v>
      </c>
      <c r="J77">
        <v>500000000</v>
      </c>
      <c r="K77">
        <v>2.875</v>
      </c>
      <c r="L77" t="s">
        <v>183</v>
      </c>
      <c r="M77">
        <v>0.47</v>
      </c>
      <c r="N77" t="s">
        <v>201</v>
      </c>
      <c r="O77" t="str">
        <f t="shared" si="1"/>
        <v>H</v>
      </c>
      <c r="P77" s="5">
        <v>2.8461824031679246</v>
      </c>
    </row>
    <row r="78" spans="1:16" x14ac:dyDescent="0.25">
      <c r="A78" t="s">
        <v>59</v>
      </c>
      <c r="B78" t="s">
        <v>594</v>
      </c>
      <c r="C78" t="s">
        <v>194</v>
      </c>
      <c r="D78" t="s">
        <v>13</v>
      </c>
      <c r="E78" t="s">
        <v>14</v>
      </c>
      <c r="F78" s="3">
        <v>45306</v>
      </c>
      <c r="G78" t="s">
        <v>195</v>
      </c>
      <c r="H78">
        <v>6</v>
      </c>
      <c r="I78" s="5">
        <v>27.75572357828483</v>
      </c>
      <c r="J78">
        <v>750000000</v>
      </c>
      <c r="K78">
        <v>2.875</v>
      </c>
      <c r="L78" t="s">
        <v>183</v>
      </c>
      <c r="M78">
        <v>0.47</v>
      </c>
      <c r="N78" t="s">
        <v>201</v>
      </c>
      <c r="O78" t="str">
        <f t="shared" si="1"/>
        <v>H</v>
      </c>
      <c r="P78" s="5">
        <v>2.8360748723766305</v>
      </c>
    </row>
    <row r="79" spans="1:16" x14ac:dyDescent="0.25">
      <c r="A79" t="s">
        <v>59</v>
      </c>
      <c r="B79" t="s">
        <v>594</v>
      </c>
      <c r="C79" t="s">
        <v>196</v>
      </c>
      <c r="D79" t="s">
        <v>27</v>
      </c>
      <c r="E79" t="s">
        <v>14</v>
      </c>
      <c r="F79" s="3">
        <v>45035</v>
      </c>
      <c r="G79" t="s">
        <v>197</v>
      </c>
      <c r="H79">
        <v>6</v>
      </c>
      <c r="I79" s="5">
        <v>23.753988837499779</v>
      </c>
      <c r="J79">
        <v>500000000</v>
      </c>
      <c r="K79">
        <v>3</v>
      </c>
      <c r="L79" t="s">
        <v>198</v>
      </c>
      <c r="M79">
        <v>0.47</v>
      </c>
      <c r="N79" t="s">
        <v>199</v>
      </c>
      <c r="O79" t="str">
        <f t="shared" si="1"/>
        <v>K</v>
      </c>
      <c r="P79" s="5">
        <v>2.9382670101174329</v>
      </c>
    </row>
    <row r="80" spans="1:16" x14ac:dyDescent="0.25">
      <c r="A80" t="s">
        <v>25</v>
      </c>
      <c r="B80" t="s">
        <v>594</v>
      </c>
      <c r="C80" t="s">
        <v>202</v>
      </c>
      <c r="D80" t="s">
        <v>13</v>
      </c>
      <c r="E80" t="s">
        <v>14</v>
      </c>
      <c r="F80" s="3">
        <v>44847</v>
      </c>
      <c r="G80" t="s">
        <v>203</v>
      </c>
      <c r="H80">
        <v>6</v>
      </c>
      <c r="I80" s="5">
        <v>17.203446129706741</v>
      </c>
      <c r="J80">
        <v>750000000</v>
      </c>
      <c r="K80">
        <v>2.875</v>
      </c>
      <c r="L80" t="s">
        <v>183</v>
      </c>
      <c r="M80">
        <v>0.47</v>
      </c>
      <c r="N80" t="s">
        <v>201</v>
      </c>
      <c r="O80" t="str">
        <f t="shared" si="1"/>
        <v>H</v>
      </c>
      <c r="P80" s="5">
        <v>2.826650149197969</v>
      </c>
    </row>
    <row r="81" spans="1:16" x14ac:dyDescent="0.25">
      <c r="A81" t="s">
        <v>25</v>
      </c>
      <c r="B81" t="s">
        <v>594</v>
      </c>
      <c r="C81" t="s">
        <v>204</v>
      </c>
      <c r="D81" t="s">
        <v>13</v>
      </c>
      <c r="E81" t="s">
        <v>18</v>
      </c>
      <c r="F81" s="3">
        <v>45036</v>
      </c>
      <c r="G81" t="s">
        <v>205</v>
      </c>
      <c r="H81">
        <v>6</v>
      </c>
      <c r="I81" s="5">
        <v>22.617399742456779</v>
      </c>
      <c r="J81">
        <v>1250000000</v>
      </c>
      <c r="K81">
        <v>3.125</v>
      </c>
      <c r="L81" t="s">
        <v>183</v>
      </c>
      <c r="M81">
        <v>0.47</v>
      </c>
      <c r="N81" t="s">
        <v>201</v>
      </c>
      <c r="O81" t="str">
        <f t="shared" si="1"/>
        <v>H</v>
      </c>
      <c r="P81" s="5">
        <v>3.0477249342910504</v>
      </c>
    </row>
    <row r="82" spans="1:16" x14ac:dyDescent="0.25">
      <c r="A82" t="s">
        <v>35</v>
      </c>
      <c r="B82" t="s">
        <v>594</v>
      </c>
      <c r="C82" t="s">
        <v>181</v>
      </c>
      <c r="D82" t="s">
        <v>13</v>
      </c>
      <c r="E82" t="s">
        <v>14</v>
      </c>
      <c r="F82" s="3">
        <v>44945</v>
      </c>
      <c r="G82" t="s">
        <v>182</v>
      </c>
      <c r="H82">
        <v>6</v>
      </c>
      <c r="I82" s="5">
        <v>41.294410280372297</v>
      </c>
      <c r="J82">
        <v>750000000</v>
      </c>
      <c r="K82">
        <v>2.875</v>
      </c>
      <c r="L82" t="s">
        <v>183</v>
      </c>
      <c r="M82">
        <v>0.47</v>
      </c>
      <c r="N82" t="s">
        <v>201</v>
      </c>
      <c r="O82" t="str">
        <f t="shared" si="1"/>
        <v>H</v>
      </c>
      <c r="P82" s="5">
        <v>2.8506130057359287</v>
      </c>
    </row>
    <row r="83" spans="1:16" x14ac:dyDescent="0.25">
      <c r="A83" t="s">
        <v>206</v>
      </c>
      <c r="B83" t="s">
        <v>594</v>
      </c>
      <c r="C83" t="s">
        <v>207</v>
      </c>
      <c r="D83" t="s">
        <v>27</v>
      </c>
      <c r="E83" t="s">
        <v>28</v>
      </c>
      <c r="F83" s="3">
        <v>45475</v>
      </c>
      <c r="G83" t="s">
        <v>208</v>
      </c>
      <c r="H83">
        <v>6</v>
      </c>
      <c r="I83" s="5">
        <v>32.888365306542632</v>
      </c>
      <c r="J83">
        <v>600000000</v>
      </c>
      <c r="K83">
        <v>3</v>
      </c>
      <c r="L83" t="s">
        <v>183</v>
      </c>
      <c r="M83">
        <v>0.47</v>
      </c>
      <c r="N83" t="s">
        <v>199</v>
      </c>
      <c r="O83" t="str">
        <f t="shared" si="1"/>
        <v>H</v>
      </c>
      <c r="P83" s="5">
        <v>2.9482001238244049</v>
      </c>
    </row>
    <row r="84" spans="1:16" x14ac:dyDescent="0.25">
      <c r="A84" t="s">
        <v>77</v>
      </c>
      <c r="B84" t="s">
        <v>594</v>
      </c>
      <c r="C84" t="s">
        <v>209</v>
      </c>
      <c r="D84" t="s">
        <v>13</v>
      </c>
      <c r="E84" t="s">
        <v>18</v>
      </c>
      <c r="F84" s="3">
        <v>45687</v>
      </c>
      <c r="G84" t="s">
        <v>210</v>
      </c>
      <c r="H84">
        <v>6</v>
      </c>
      <c r="I84" s="5">
        <v>31.351815213189621</v>
      </c>
      <c r="J84">
        <v>1000000000</v>
      </c>
      <c r="K84">
        <v>2.75</v>
      </c>
      <c r="L84" t="s">
        <v>183</v>
      </c>
      <c r="M84">
        <v>0.47</v>
      </c>
      <c r="N84" t="s">
        <v>201</v>
      </c>
      <c r="O84" t="str">
        <f t="shared" si="1"/>
        <v>H</v>
      </c>
      <c r="P84" s="5">
        <v>2.7377622029528008</v>
      </c>
    </row>
    <row r="85" spans="1:16" x14ac:dyDescent="0.25">
      <c r="A85" t="s">
        <v>45</v>
      </c>
      <c r="B85" t="s">
        <v>594</v>
      </c>
      <c r="C85" t="s">
        <v>211</v>
      </c>
      <c r="D85" t="s">
        <v>13</v>
      </c>
      <c r="E85" t="s">
        <v>18</v>
      </c>
      <c r="F85" s="3">
        <v>44770</v>
      </c>
      <c r="G85" t="s">
        <v>212</v>
      </c>
      <c r="H85">
        <v>6</v>
      </c>
      <c r="I85" s="5">
        <v>11.54628159027139</v>
      </c>
      <c r="J85">
        <v>1000000000</v>
      </c>
      <c r="K85">
        <v>1.75</v>
      </c>
      <c r="L85" t="s">
        <v>183</v>
      </c>
      <c r="M85">
        <v>0.47</v>
      </c>
      <c r="N85" t="s">
        <v>201</v>
      </c>
      <c r="O85" t="str">
        <f t="shared" si="1"/>
        <v>H</v>
      </c>
      <c r="P85" s="5">
        <v>1.7719993722059366</v>
      </c>
    </row>
    <row r="86" spans="1:16" x14ac:dyDescent="0.25">
      <c r="A86" t="s">
        <v>50</v>
      </c>
      <c r="B86" t="s">
        <v>594</v>
      </c>
      <c r="C86" t="s">
        <v>213</v>
      </c>
      <c r="D86" t="s">
        <v>13</v>
      </c>
      <c r="E86" t="s">
        <v>14</v>
      </c>
      <c r="F86" s="3">
        <v>45040</v>
      </c>
      <c r="G86" t="s">
        <v>214</v>
      </c>
      <c r="H86">
        <v>6</v>
      </c>
      <c r="I86" s="5">
        <v>22.451149517734951</v>
      </c>
      <c r="J86">
        <v>750000000</v>
      </c>
      <c r="K86">
        <v>3.125</v>
      </c>
      <c r="L86" t="s">
        <v>183</v>
      </c>
      <c r="M86">
        <v>0.47</v>
      </c>
      <c r="N86" t="s">
        <v>201</v>
      </c>
      <c r="O86" t="str">
        <f t="shared" si="1"/>
        <v>H</v>
      </c>
      <c r="P86" s="5">
        <v>3.0479478776529341</v>
      </c>
    </row>
    <row r="87" spans="1:16" x14ac:dyDescent="0.25">
      <c r="A87" t="s">
        <v>50</v>
      </c>
      <c r="B87" t="s">
        <v>594</v>
      </c>
      <c r="C87" t="s">
        <v>215</v>
      </c>
      <c r="D87" t="s">
        <v>13</v>
      </c>
      <c r="E87" t="s">
        <v>14</v>
      </c>
      <c r="F87" s="3">
        <v>45596</v>
      </c>
      <c r="G87" t="s">
        <v>216</v>
      </c>
      <c r="H87">
        <v>6</v>
      </c>
      <c r="I87" s="5">
        <v>28.593024494038271</v>
      </c>
      <c r="J87">
        <v>500000000</v>
      </c>
      <c r="K87">
        <v>2.625</v>
      </c>
      <c r="L87" t="s">
        <v>183</v>
      </c>
      <c r="M87">
        <v>0.47</v>
      </c>
      <c r="N87" t="s">
        <v>201</v>
      </c>
      <c r="O87" t="str">
        <f t="shared" si="1"/>
        <v>H</v>
      </c>
      <c r="P87" s="5">
        <v>2.6268650742026836</v>
      </c>
    </row>
    <row r="88" spans="1:16" x14ac:dyDescent="0.25">
      <c r="A88" t="s">
        <v>217</v>
      </c>
      <c r="B88" t="s">
        <v>594</v>
      </c>
      <c r="C88" t="s">
        <v>218</v>
      </c>
      <c r="D88" t="s">
        <v>13</v>
      </c>
      <c r="E88" t="s">
        <v>14</v>
      </c>
      <c r="F88" s="3">
        <v>45057</v>
      </c>
      <c r="G88" t="s">
        <v>219</v>
      </c>
      <c r="H88">
        <v>6</v>
      </c>
      <c r="I88" s="5">
        <v>26.14147602557912</v>
      </c>
      <c r="J88">
        <v>500000000</v>
      </c>
      <c r="K88">
        <v>3</v>
      </c>
      <c r="L88" t="s">
        <v>183</v>
      </c>
      <c r="M88">
        <v>0.47</v>
      </c>
      <c r="N88" t="s">
        <v>201</v>
      </c>
      <c r="O88" t="str">
        <f t="shared" si="1"/>
        <v>H</v>
      </c>
      <c r="P88" s="5">
        <v>2.9448430889440771</v>
      </c>
    </row>
    <row r="89" spans="1:16" x14ac:dyDescent="0.25">
      <c r="A89" t="s">
        <v>11</v>
      </c>
      <c r="B89" t="s">
        <v>594</v>
      </c>
      <c r="C89" t="s">
        <v>220</v>
      </c>
      <c r="D89" t="s">
        <v>13</v>
      </c>
      <c r="E89" t="s">
        <v>14</v>
      </c>
      <c r="F89" s="3">
        <v>44831</v>
      </c>
      <c r="G89" t="s">
        <v>221</v>
      </c>
      <c r="H89">
        <v>6</v>
      </c>
      <c r="I89" s="5">
        <v>26.67827272065248</v>
      </c>
      <c r="J89">
        <v>500000000</v>
      </c>
      <c r="K89">
        <v>2.625</v>
      </c>
      <c r="L89" t="s">
        <v>183</v>
      </c>
      <c r="M89">
        <v>0.47</v>
      </c>
      <c r="N89" t="s">
        <v>201</v>
      </c>
      <c r="O89" t="str">
        <f t="shared" si="1"/>
        <v>H</v>
      </c>
      <c r="P89" s="5">
        <v>2.6081254284777491</v>
      </c>
    </row>
    <row r="90" spans="1:16" x14ac:dyDescent="0.25">
      <c r="A90" t="s">
        <v>11</v>
      </c>
      <c r="B90" t="s">
        <v>594</v>
      </c>
      <c r="C90" t="s">
        <v>222</v>
      </c>
      <c r="D90" t="s">
        <v>27</v>
      </c>
      <c r="E90" t="s">
        <v>28</v>
      </c>
      <c r="F90" s="3">
        <v>45799</v>
      </c>
      <c r="G90" t="s">
        <v>223</v>
      </c>
      <c r="H90">
        <v>6</v>
      </c>
      <c r="I90" s="5">
        <v>33.522415098335067</v>
      </c>
      <c r="J90">
        <v>1000000000</v>
      </c>
      <c r="K90">
        <v>2.625</v>
      </c>
      <c r="L90" t="s">
        <v>183</v>
      </c>
      <c r="M90">
        <v>0.47</v>
      </c>
      <c r="N90" t="s">
        <v>199</v>
      </c>
      <c r="O90" t="str">
        <f t="shared" si="1"/>
        <v>H</v>
      </c>
      <c r="P90" s="5">
        <v>2.6319879279487037</v>
      </c>
    </row>
    <row r="91" spans="1:16" x14ac:dyDescent="0.25">
      <c r="A91" t="s">
        <v>56</v>
      </c>
      <c r="B91" t="s">
        <v>594</v>
      </c>
      <c r="C91" t="s">
        <v>224</v>
      </c>
      <c r="D91" t="s">
        <v>13</v>
      </c>
      <c r="E91" t="s">
        <v>14</v>
      </c>
      <c r="F91" s="3">
        <v>44685</v>
      </c>
      <c r="G91" t="s">
        <v>225</v>
      </c>
      <c r="H91">
        <v>7</v>
      </c>
      <c r="I91" s="5">
        <v>31.764824353974731</v>
      </c>
      <c r="J91">
        <v>750000000</v>
      </c>
      <c r="K91">
        <v>1.375</v>
      </c>
      <c r="L91" t="s">
        <v>226</v>
      </c>
      <c r="M91">
        <v>0.5</v>
      </c>
      <c r="N91" t="s">
        <v>227</v>
      </c>
      <c r="O91" t="str">
        <f t="shared" si="1"/>
        <v>H</v>
      </c>
      <c r="P91" s="5">
        <v>1.4267851676602281</v>
      </c>
    </row>
    <row r="92" spans="1:16" x14ac:dyDescent="0.25">
      <c r="A92" t="s">
        <v>56</v>
      </c>
      <c r="B92" t="s">
        <v>594</v>
      </c>
      <c r="C92" t="s">
        <v>228</v>
      </c>
      <c r="D92" t="s">
        <v>13</v>
      </c>
      <c r="E92" t="s">
        <v>14</v>
      </c>
      <c r="F92" s="3">
        <v>44818</v>
      </c>
      <c r="G92" t="s">
        <v>229</v>
      </c>
      <c r="H92">
        <v>7</v>
      </c>
      <c r="I92" s="5">
        <v>35.310847088426677</v>
      </c>
      <c r="J92">
        <v>750000000</v>
      </c>
      <c r="K92">
        <v>2.375</v>
      </c>
      <c r="L92" t="s">
        <v>226</v>
      </c>
      <c r="M92">
        <v>0.5</v>
      </c>
      <c r="N92" t="s">
        <v>227</v>
      </c>
      <c r="O92" t="str">
        <f t="shared" si="1"/>
        <v>H</v>
      </c>
      <c r="P92" s="5">
        <v>2.3908152428313292</v>
      </c>
    </row>
    <row r="93" spans="1:16" x14ac:dyDescent="0.25">
      <c r="A93" t="s">
        <v>56</v>
      </c>
      <c r="B93" t="s">
        <v>594</v>
      </c>
      <c r="C93" t="s">
        <v>230</v>
      </c>
      <c r="D93" t="s">
        <v>13</v>
      </c>
      <c r="E93" t="s">
        <v>14</v>
      </c>
      <c r="F93" s="3">
        <v>44455</v>
      </c>
      <c r="G93" t="s">
        <v>145</v>
      </c>
      <c r="H93">
        <v>7</v>
      </c>
      <c r="I93" s="5">
        <v>25.647747155600829</v>
      </c>
      <c r="J93">
        <v>500000000</v>
      </c>
      <c r="K93">
        <v>0.01</v>
      </c>
      <c r="L93" t="s">
        <v>226</v>
      </c>
      <c r="M93">
        <v>0.5</v>
      </c>
      <c r="N93" t="s">
        <v>227</v>
      </c>
      <c r="O93" t="str">
        <f t="shared" si="1"/>
        <v>H</v>
      </c>
      <c r="P93" s="5">
        <v>1.0766754415715155E-2</v>
      </c>
    </row>
    <row r="94" spans="1:16" x14ac:dyDescent="0.25">
      <c r="A94" t="s">
        <v>56</v>
      </c>
      <c r="B94" t="s">
        <v>594</v>
      </c>
      <c r="C94" t="s">
        <v>231</v>
      </c>
      <c r="D94" t="s">
        <v>13</v>
      </c>
      <c r="E94" t="s">
        <v>14</v>
      </c>
      <c r="F94" s="3">
        <v>44208</v>
      </c>
      <c r="G94" t="s">
        <v>142</v>
      </c>
      <c r="H94">
        <v>7</v>
      </c>
      <c r="I94" s="5">
        <v>23.822099853323071</v>
      </c>
      <c r="J94">
        <v>500000000</v>
      </c>
      <c r="K94">
        <v>0.01</v>
      </c>
      <c r="L94" t="s">
        <v>226</v>
      </c>
      <c r="M94">
        <v>0.5</v>
      </c>
      <c r="N94" t="s">
        <v>227</v>
      </c>
      <c r="O94" t="str">
        <f t="shared" si="1"/>
        <v>H</v>
      </c>
      <c r="P94" s="5">
        <v>1.0591649543499905E-2</v>
      </c>
    </row>
    <row r="95" spans="1:16" x14ac:dyDescent="0.25">
      <c r="A95" t="s">
        <v>106</v>
      </c>
      <c r="B95" t="s">
        <v>594</v>
      </c>
      <c r="C95" t="s">
        <v>232</v>
      </c>
      <c r="D95" t="s">
        <v>13</v>
      </c>
      <c r="E95" t="s">
        <v>14</v>
      </c>
      <c r="F95" s="3">
        <v>44817</v>
      </c>
      <c r="G95" t="s">
        <v>233</v>
      </c>
      <c r="H95">
        <v>7</v>
      </c>
      <c r="I95" s="5">
        <v>26.571995934902318</v>
      </c>
      <c r="J95">
        <v>500000000</v>
      </c>
      <c r="K95">
        <v>2.375</v>
      </c>
      <c r="L95" t="s">
        <v>226</v>
      </c>
      <c r="M95">
        <v>0.5</v>
      </c>
      <c r="N95" t="s">
        <v>227</v>
      </c>
      <c r="O95" t="str">
        <f t="shared" si="1"/>
        <v>H</v>
      </c>
      <c r="P95" s="5">
        <v>2.3877625910491576</v>
      </c>
    </row>
    <row r="96" spans="1:16" x14ac:dyDescent="0.25">
      <c r="A96" t="s">
        <v>59</v>
      </c>
      <c r="B96" t="s">
        <v>594</v>
      </c>
      <c r="C96" t="s">
        <v>234</v>
      </c>
      <c r="D96" t="s">
        <v>27</v>
      </c>
      <c r="E96" t="s">
        <v>28</v>
      </c>
      <c r="F96" s="3">
        <v>45805</v>
      </c>
      <c r="G96" t="s">
        <v>235</v>
      </c>
      <c r="H96">
        <v>7</v>
      </c>
      <c r="I96" s="5">
        <v>34.543974211366809</v>
      </c>
      <c r="J96">
        <v>750000000</v>
      </c>
      <c r="K96">
        <v>2.75</v>
      </c>
      <c r="L96" t="s">
        <v>236</v>
      </c>
      <c r="M96">
        <v>0.5</v>
      </c>
      <c r="N96" t="s">
        <v>237</v>
      </c>
      <c r="O96" t="str">
        <f t="shared" si="1"/>
        <v>K</v>
      </c>
      <c r="P96" s="5">
        <v>2.7544622288106733</v>
      </c>
    </row>
    <row r="97" spans="1:16" x14ac:dyDescent="0.25">
      <c r="A97" t="s">
        <v>22</v>
      </c>
      <c r="B97" t="s">
        <v>594</v>
      </c>
      <c r="C97" t="s">
        <v>238</v>
      </c>
      <c r="D97" t="s">
        <v>13</v>
      </c>
      <c r="E97" t="s">
        <v>14</v>
      </c>
      <c r="F97" s="3">
        <v>43878</v>
      </c>
      <c r="G97" t="s">
        <v>239</v>
      </c>
      <c r="H97">
        <v>7</v>
      </c>
      <c r="I97" s="5">
        <v>9.1953820657302288</v>
      </c>
      <c r="J97">
        <v>500000000</v>
      </c>
      <c r="K97">
        <v>0.01</v>
      </c>
      <c r="L97" t="s">
        <v>226</v>
      </c>
      <c r="M97">
        <v>0.5</v>
      </c>
      <c r="N97" t="s">
        <v>227</v>
      </c>
      <c r="O97" t="str">
        <f t="shared" si="1"/>
        <v>H</v>
      </c>
      <c r="P97" s="5">
        <v>1.0336344655076178E-2</v>
      </c>
    </row>
    <row r="98" spans="1:16" x14ac:dyDescent="0.25">
      <c r="A98" t="s">
        <v>22</v>
      </c>
      <c r="B98" t="s">
        <v>594</v>
      </c>
      <c r="C98" t="s">
        <v>240</v>
      </c>
      <c r="D98" t="s">
        <v>13</v>
      </c>
      <c r="E98" t="s">
        <v>14</v>
      </c>
      <c r="F98" s="3">
        <v>44279</v>
      </c>
      <c r="G98" t="s">
        <v>41</v>
      </c>
      <c r="H98">
        <v>7</v>
      </c>
      <c r="I98" s="5">
        <v>13.889997797685879</v>
      </c>
      <c r="J98">
        <v>500000000</v>
      </c>
      <c r="K98">
        <v>0.01</v>
      </c>
      <c r="L98" t="s">
        <v>226</v>
      </c>
      <c r="M98">
        <v>0.5</v>
      </c>
      <c r="N98" t="s">
        <v>227</v>
      </c>
      <c r="O98" t="str">
        <f t="shared" si="1"/>
        <v>H</v>
      </c>
      <c r="P98" s="5">
        <v>1.0571103887523456E-2</v>
      </c>
    </row>
    <row r="99" spans="1:16" x14ac:dyDescent="0.25">
      <c r="A99" t="s">
        <v>22</v>
      </c>
      <c r="B99" t="s">
        <v>594</v>
      </c>
      <c r="C99" t="s">
        <v>241</v>
      </c>
      <c r="D99" t="s">
        <v>13</v>
      </c>
      <c r="E99" t="s">
        <v>14</v>
      </c>
      <c r="F99" s="3">
        <v>45070</v>
      </c>
      <c r="G99" t="s">
        <v>242</v>
      </c>
      <c r="H99">
        <v>7</v>
      </c>
      <c r="I99" s="5">
        <v>26.49474648206672</v>
      </c>
      <c r="J99">
        <v>750000000</v>
      </c>
      <c r="K99">
        <v>2.875</v>
      </c>
      <c r="L99" t="s">
        <v>226</v>
      </c>
      <c r="M99">
        <v>0.5</v>
      </c>
      <c r="N99" t="s">
        <v>227</v>
      </c>
      <c r="O99" t="str">
        <f t="shared" si="1"/>
        <v>H</v>
      </c>
      <c r="P99" s="5">
        <v>2.8360049321824907</v>
      </c>
    </row>
    <row r="100" spans="1:16" x14ac:dyDescent="0.25">
      <c r="A100" t="s">
        <v>22</v>
      </c>
      <c r="B100" t="s">
        <v>594</v>
      </c>
      <c r="C100" t="s">
        <v>243</v>
      </c>
      <c r="D100" t="s">
        <v>13</v>
      </c>
      <c r="E100" t="s">
        <v>14</v>
      </c>
      <c r="F100" s="3">
        <v>44616</v>
      </c>
      <c r="G100" t="s">
        <v>244</v>
      </c>
      <c r="H100">
        <v>7</v>
      </c>
      <c r="I100" s="5">
        <v>21.840805990279051</v>
      </c>
      <c r="J100">
        <v>500000000</v>
      </c>
      <c r="K100">
        <v>0.625</v>
      </c>
      <c r="L100" t="s">
        <v>226</v>
      </c>
      <c r="M100">
        <v>0.5</v>
      </c>
      <c r="N100" t="s">
        <v>227</v>
      </c>
      <c r="O100" t="str">
        <f t="shared" si="1"/>
        <v>H</v>
      </c>
      <c r="P100" s="5">
        <v>0.66630064551206536</v>
      </c>
    </row>
    <row r="101" spans="1:16" x14ac:dyDescent="0.25">
      <c r="A101" t="s">
        <v>22</v>
      </c>
      <c r="B101" t="s">
        <v>594</v>
      </c>
      <c r="C101" t="s">
        <v>245</v>
      </c>
      <c r="D101" t="s">
        <v>13</v>
      </c>
      <c r="E101" t="s">
        <v>14</v>
      </c>
      <c r="F101" s="3">
        <v>45531</v>
      </c>
      <c r="G101" t="s">
        <v>246</v>
      </c>
      <c r="H101">
        <v>7</v>
      </c>
      <c r="I101" s="5">
        <v>34.004731662046858</v>
      </c>
      <c r="J101">
        <v>500000000</v>
      </c>
      <c r="K101">
        <v>2.625</v>
      </c>
      <c r="L101" t="s">
        <v>226</v>
      </c>
      <c r="M101">
        <v>0.5</v>
      </c>
      <c r="N101" t="s">
        <v>227</v>
      </c>
      <c r="O101" t="str">
        <f t="shared" si="1"/>
        <v>H</v>
      </c>
      <c r="P101" s="5">
        <v>2.6434779105950592</v>
      </c>
    </row>
    <row r="102" spans="1:16" x14ac:dyDescent="0.25">
      <c r="A102" t="s">
        <v>25</v>
      </c>
      <c r="B102" t="s">
        <v>594</v>
      </c>
      <c r="C102" t="s">
        <v>247</v>
      </c>
      <c r="D102" t="s">
        <v>13</v>
      </c>
      <c r="E102" t="s">
        <v>18</v>
      </c>
      <c r="F102" s="3">
        <v>45300</v>
      </c>
      <c r="G102" t="s">
        <v>248</v>
      </c>
      <c r="H102">
        <v>7</v>
      </c>
      <c r="I102" s="5">
        <v>33.604447710808351</v>
      </c>
      <c r="J102">
        <v>1250000000</v>
      </c>
      <c r="K102">
        <v>2.75</v>
      </c>
      <c r="L102" t="s">
        <v>226</v>
      </c>
      <c r="M102">
        <v>0.5</v>
      </c>
      <c r="N102" t="s">
        <v>227</v>
      </c>
      <c r="O102" t="str">
        <f t="shared" si="1"/>
        <v>H</v>
      </c>
      <c r="P102" s="5">
        <v>2.7348489368896312</v>
      </c>
    </row>
    <row r="103" spans="1:16" x14ac:dyDescent="0.25">
      <c r="A103" t="s">
        <v>42</v>
      </c>
      <c r="B103" t="s">
        <v>594</v>
      </c>
      <c r="C103" t="s">
        <v>249</v>
      </c>
      <c r="D103" t="s">
        <v>13</v>
      </c>
      <c r="E103" t="s">
        <v>14</v>
      </c>
      <c r="F103" s="3">
        <v>44944</v>
      </c>
      <c r="G103" t="s">
        <v>250</v>
      </c>
      <c r="H103">
        <v>7</v>
      </c>
      <c r="I103" s="5">
        <v>36.812638832370418</v>
      </c>
      <c r="J103">
        <v>500000000</v>
      </c>
      <c r="K103">
        <v>3</v>
      </c>
      <c r="L103" t="s">
        <v>226</v>
      </c>
      <c r="M103">
        <v>0.5</v>
      </c>
      <c r="N103" t="s">
        <v>227</v>
      </c>
      <c r="O103" t="str">
        <f t="shared" si="1"/>
        <v>H</v>
      </c>
      <c r="P103" s="5">
        <v>2.9570342917410031</v>
      </c>
    </row>
    <row r="104" spans="1:16" x14ac:dyDescent="0.25">
      <c r="A104" t="s">
        <v>71</v>
      </c>
      <c r="B104" t="s">
        <v>594</v>
      </c>
      <c r="C104" t="s">
        <v>253</v>
      </c>
      <c r="D104" t="s">
        <v>13</v>
      </c>
      <c r="E104" t="s">
        <v>14</v>
      </c>
      <c r="F104" s="3">
        <v>44502</v>
      </c>
      <c r="G104" t="s">
        <v>254</v>
      </c>
      <c r="H104">
        <v>7</v>
      </c>
      <c r="I104" s="5">
        <v>41.527702699655627</v>
      </c>
      <c r="J104">
        <v>500000000</v>
      </c>
      <c r="K104">
        <v>0.1</v>
      </c>
      <c r="L104" t="s">
        <v>226</v>
      </c>
      <c r="M104">
        <v>0.5</v>
      </c>
      <c r="N104" t="s">
        <v>227</v>
      </c>
      <c r="O104" t="str">
        <f t="shared" si="1"/>
        <v>H</v>
      </c>
      <c r="P104" s="5">
        <v>0.10842752974980349</v>
      </c>
    </row>
    <row r="105" spans="1:16" x14ac:dyDescent="0.25">
      <c r="A105" t="s">
        <v>143</v>
      </c>
      <c r="B105" t="s">
        <v>594</v>
      </c>
      <c r="C105" t="s">
        <v>255</v>
      </c>
      <c r="D105" t="s">
        <v>13</v>
      </c>
      <c r="E105" t="s">
        <v>14</v>
      </c>
      <c r="F105" s="3">
        <v>45350</v>
      </c>
      <c r="G105" t="s">
        <v>251</v>
      </c>
      <c r="H105">
        <v>7</v>
      </c>
      <c r="I105" s="5">
        <v>34.962463922578038</v>
      </c>
      <c r="J105">
        <v>500000000</v>
      </c>
      <c r="K105">
        <v>3</v>
      </c>
      <c r="L105" t="s">
        <v>226</v>
      </c>
      <c r="M105">
        <v>0.5</v>
      </c>
      <c r="N105" t="s">
        <v>227</v>
      </c>
      <c r="O105" t="str">
        <f t="shared" si="1"/>
        <v>H</v>
      </c>
      <c r="P105" s="5">
        <v>2.9588133186050181</v>
      </c>
    </row>
    <row r="106" spans="1:16" x14ac:dyDescent="0.25">
      <c r="A106" t="s">
        <v>74</v>
      </c>
      <c r="B106" t="s">
        <v>594</v>
      </c>
      <c r="C106" t="s">
        <v>256</v>
      </c>
      <c r="D106" t="s">
        <v>13</v>
      </c>
      <c r="E106" t="s">
        <v>18</v>
      </c>
      <c r="F106" s="3">
        <v>44476</v>
      </c>
      <c r="G106" t="s">
        <v>257</v>
      </c>
      <c r="H106">
        <v>7</v>
      </c>
      <c r="I106" s="5">
        <v>16.418927600972552</v>
      </c>
      <c r="J106">
        <v>1250000000</v>
      </c>
      <c r="K106">
        <v>0.01</v>
      </c>
      <c r="L106" t="s">
        <v>226</v>
      </c>
      <c r="M106">
        <v>0.5</v>
      </c>
      <c r="N106" t="s">
        <v>227</v>
      </c>
      <c r="O106" t="str">
        <f t="shared" si="1"/>
        <v>H</v>
      </c>
      <c r="P106" s="5">
        <v>1.0769131361864352E-2</v>
      </c>
    </row>
    <row r="107" spans="1:16" x14ac:dyDescent="0.25">
      <c r="A107" t="s">
        <v>74</v>
      </c>
      <c r="B107" t="s">
        <v>594</v>
      </c>
      <c r="C107" t="s">
        <v>258</v>
      </c>
      <c r="D107" t="s">
        <v>13</v>
      </c>
      <c r="E107" t="s">
        <v>18</v>
      </c>
      <c r="F107" s="3">
        <v>44617</v>
      </c>
      <c r="G107" t="s">
        <v>259</v>
      </c>
      <c r="H107">
        <v>7</v>
      </c>
      <c r="I107" s="5">
        <v>18.821342991621041</v>
      </c>
      <c r="J107">
        <v>1500000000</v>
      </c>
      <c r="K107">
        <v>0.625</v>
      </c>
      <c r="L107" t="s">
        <v>226</v>
      </c>
      <c r="M107">
        <v>0.5</v>
      </c>
      <c r="N107" t="s">
        <v>227</v>
      </c>
      <c r="O107" t="str">
        <f t="shared" si="1"/>
        <v>H</v>
      </c>
      <c r="P107" s="5">
        <v>0.66541391407110873</v>
      </c>
    </row>
    <row r="108" spans="1:16" x14ac:dyDescent="0.25">
      <c r="A108" t="s">
        <v>45</v>
      </c>
      <c r="B108" t="s">
        <v>594</v>
      </c>
      <c r="C108" t="s">
        <v>260</v>
      </c>
      <c r="D108" t="s">
        <v>13</v>
      </c>
      <c r="E108" t="s">
        <v>14</v>
      </c>
      <c r="F108" s="3">
        <v>45303</v>
      </c>
      <c r="G108" t="s">
        <v>261</v>
      </c>
      <c r="H108">
        <v>7</v>
      </c>
      <c r="I108" s="5">
        <v>26.597964882770281</v>
      </c>
      <c r="J108">
        <v>750000000</v>
      </c>
      <c r="K108">
        <v>2.75</v>
      </c>
      <c r="L108" t="s">
        <v>226</v>
      </c>
      <c r="M108">
        <v>0.5</v>
      </c>
      <c r="N108" t="s">
        <v>227</v>
      </c>
      <c r="O108" t="str">
        <f t="shared" si="1"/>
        <v>H</v>
      </c>
      <c r="P108" s="5">
        <v>2.7347673458834292</v>
      </c>
    </row>
    <row r="109" spans="1:16" x14ac:dyDescent="0.25">
      <c r="A109" t="s">
        <v>45</v>
      </c>
      <c r="B109" t="s">
        <v>594</v>
      </c>
      <c r="C109" t="s">
        <v>262</v>
      </c>
      <c r="D109" t="s">
        <v>13</v>
      </c>
      <c r="E109" t="s">
        <v>14</v>
      </c>
      <c r="F109" s="3">
        <v>43846</v>
      </c>
      <c r="G109" t="s">
        <v>263</v>
      </c>
      <c r="H109">
        <v>7</v>
      </c>
      <c r="I109" s="5">
        <v>11.268322286109139</v>
      </c>
      <c r="J109">
        <v>750000000</v>
      </c>
      <c r="K109">
        <v>0.01</v>
      </c>
      <c r="L109" t="s">
        <v>226</v>
      </c>
      <c r="M109">
        <v>0.5</v>
      </c>
      <c r="N109" t="s">
        <v>227</v>
      </c>
      <c r="O109" t="str">
        <f t="shared" si="1"/>
        <v>H</v>
      </c>
      <c r="P109" s="5">
        <v>1.0430737296665816E-2</v>
      </c>
    </row>
    <row r="110" spans="1:16" x14ac:dyDescent="0.25">
      <c r="A110" t="s">
        <v>45</v>
      </c>
      <c r="B110" t="s">
        <v>594</v>
      </c>
      <c r="C110" t="s">
        <v>264</v>
      </c>
      <c r="D110" t="s">
        <v>13</v>
      </c>
      <c r="E110" t="s">
        <v>14</v>
      </c>
      <c r="F110" s="3">
        <v>44585</v>
      </c>
      <c r="G110" t="s">
        <v>265</v>
      </c>
      <c r="H110">
        <v>7</v>
      </c>
      <c r="I110" s="5">
        <v>17.220740203571779</v>
      </c>
      <c r="J110">
        <v>750000000</v>
      </c>
      <c r="K110">
        <v>0.125</v>
      </c>
      <c r="L110" t="s">
        <v>226</v>
      </c>
      <c r="M110">
        <v>0.5</v>
      </c>
      <c r="N110" t="s">
        <v>227</v>
      </c>
      <c r="O110" t="str">
        <f t="shared" si="1"/>
        <v>H</v>
      </c>
      <c r="P110" s="5">
        <v>0.13693902926660934</v>
      </c>
    </row>
    <row r="111" spans="1:16" x14ac:dyDescent="0.25">
      <c r="A111" t="s">
        <v>45</v>
      </c>
      <c r="B111" t="s">
        <v>594</v>
      </c>
      <c r="C111" t="s">
        <v>266</v>
      </c>
      <c r="D111" t="s">
        <v>13</v>
      </c>
      <c r="E111" t="s">
        <v>14</v>
      </c>
      <c r="F111" s="3">
        <v>45408</v>
      </c>
      <c r="G111" t="s">
        <v>267</v>
      </c>
      <c r="H111">
        <v>7</v>
      </c>
      <c r="I111" s="5">
        <v>30.011308458938512</v>
      </c>
      <c r="J111">
        <v>750000000</v>
      </c>
      <c r="K111">
        <v>3</v>
      </c>
      <c r="L111" t="s">
        <v>226</v>
      </c>
      <c r="M111">
        <v>0.5</v>
      </c>
      <c r="N111" t="s">
        <v>227</v>
      </c>
      <c r="O111" t="str">
        <f t="shared" si="1"/>
        <v>H</v>
      </c>
      <c r="P111" s="5">
        <v>2.9524943656565852</v>
      </c>
    </row>
    <row r="112" spans="1:16" x14ac:dyDescent="0.25">
      <c r="A112" t="s">
        <v>50</v>
      </c>
      <c r="B112" t="s">
        <v>594</v>
      </c>
      <c r="C112" t="s">
        <v>268</v>
      </c>
      <c r="D112" t="s">
        <v>13</v>
      </c>
      <c r="E112" t="s">
        <v>14</v>
      </c>
      <c r="F112" s="3">
        <v>44588</v>
      </c>
      <c r="G112" t="s">
        <v>225</v>
      </c>
      <c r="H112">
        <v>7</v>
      </c>
      <c r="I112" s="5">
        <v>15.03528505720843</v>
      </c>
      <c r="J112">
        <v>750000000</v>
      </c>
      <c r="K112">
        <v>0.125</v>
      </c>
      <c r="L112" t="s">
        <v>226</v>
      </c>
      <c r="M112">
        <v>0.5</v>
      </c>
      <c r="N112" t="s">
        <v>227</v>
      </c>
      <c r="O112" t="str">
        <f t="shared" si="1"/>
        <v>H</v>
      </c>
      <c r="P112" s="5">
        <v>0.13513440467889365</v>
      </c>
    </row>
    <row r="113" spans="1:16" x14ac:dyDescent="0.25">
      <c r="A113" t="s">
        <v>50</v>
      </c>
      <c r="B113" t="s">
        <v>594</v>
      </c>
      <c r="C113" t="s">
        <v>269</v>
      </c>
      <c r="D113" t="s">
        <v>13</v>
      </c>
      <c r="E113" t="s">
        <v>14</v>
      </c>
      <c r="F113" s="3">
        <v>45092</v>
      </c>
      <c r="G113" t="s">
        <v>270</v>
      </c>
      <c r="H113">
        <v>7</v>
      </c>
      <c r="I113" s="5">
        <v>24.658081990390151</v>
      </c>
      <c r="J113">
        <v>750000000</v>
      </c>
      <c r="K113">
        <v>3</v>
      </c>
      <c r="L113" t="s">
        <v>226</v>
      </c>
      <c r="M113">
        <v>0.5</v>
      </c>
      <c r="N113" t="s">
        <v>227</v>
      </c>
      <c r="O113" t="str">
        <f t="shared" si="1"/>
        <v>H</v>
      </c>
      <c r="P113" s="5">
        <v>2.9397642309086809</v>
      </c>
    </row>
    <row r="114" spans="1:16" x14ac:dyDescent="0.25">
      <c r="A114" t="s">
        <v>50</v>
      </c>
      <c r="B114" t="s">
        <v>594</v>
      </c>
      <c r="C114" t="s">
        <v>271</v>
      </c>
      <c r="D114" t="s">
        <v>13</v>
      </c>
      <c r="E114" t="s">
        <v>14</v>
      </c>
      <c r="F114" s="3">
        <v>45484</v>
      </c>
      <c r="G114" t="s">
        <v>272</v>
      </c>
      <c r="H114">
        <v>7</v>
      </c>
      <c r="I114" s="5">
        <v>32.924710094723928</v>
      </c>
      <c r="J114">
        <v>500000000</v>
      </c>
      <c r="K114">
        <v>3</v>
      </c>
      <c r="L114" t="s">
        <v>226</v>
      </c>
      <c r="M114">
        <v>0.5</v>
      </c>
      <c r="N114" t="s">
        <v>227</v>
      </c>
      <c r="O114" t="str">
        <f t="shared" si="1"/>
        <v>H</v>
      </c>
      <c r="P114" s="5">
        <v>2.95159386068477</v>
      </c>
    </row>
    <row r="115" spans="1:16" x14ac:dyDescent="0.25">
      <c r="A115" t="s">
        <v>53</v>
      </c>
      <c r="B115" t="s">
        <v>594</v>
      </c>
      <c r="C115" t="s">
        <v>273</v>
      </c>
      <c r="D115" t="s">
        <v>13</v>
      </c>
      <c r="E115" t="s">
        <v>14</v>
      </c>
      <c r="F115" s="3">
        <v>43879</v>
      </c>
      <c r="G115" t="s">
        <v>274</v>
      </c>
      <c r="H115">
        <v>7</v>
      </c>
      <c r="I115" s="5">
        <v>12.152493211656241</v>
      </c>
      <c r="J115">
        <v>500000000</v>
      </c>
      <c r="K115">
        <v>0.01</v>
      </c>
      <c r="L115" t="s">
        <v>226</v>
      </c>
      <c r="M115">
        <v>0.5</v>
      </c>
      <c r="N115" t="s">
        <v>227</v>
      </c>
      <c r="O115" t="str">
        <f t="shared" si="1"/>
        <v>H</v>
      </c>
      <c r="P115" s="5">
        <v>1.0340245787642373E-2</v>
      </c>
    </row>
    <row r="116" spans="1:16" x14ac:dyDescent="0.25">
      <c r="A116" t="s">
        <v>53</v>
      </c>
      <c r="B116" t="s">
        <v>594</v>
      </c>
      <c r="C116" t="s">
        <v>275</v>
      </c>
      <c r="D116" t="s">
        <v>13</v>
      </c>
      <c r="E116" t="s">
        <v>14</v>
      </c>
      <c r="F116" s="3">
        <v>44945</v>
      </c>
      <c r="G116" t="s">
        <v>276</v>
      </c>
      <c r="H116">
        <v>7</v>
      </c>
      <c r="I116" s="5">
        <v>31.10727199275189</v>
      </c>
      <c r="J116">
        <v>500000000</v>
      </c>
      <c r="K116">
        <v>2.875</v>
      </c>
      <c r="L116" t="s">
        <v>226</v>
      </c>
      <c r="M116">
        <v>0.5</v>
      </c>
      <c r="N116" t="s">
        <v>227</v>
      </c>
      <c r="O116" t="str">
        <f t="shared" si="1"/>
        <v>H</v>
      </c>
      <c r="P116" s="5">
        <v>2.8438738012453695</v>
      </c>
    </row>
    <row r="117" spans="1:16" x14ac:dyDescent="0.25">
      <c r="A117" t="s">
        <v>53</v>
      </c>
      <c r="B117" t="s">
        <v>594</v>
      </c>
      <c r="C117" t="s">
        <v>277</v>
      </c>
      <c r="D117" t="s">
        <v>13</v>
      </c>
      <c r="E117" t="s">
        <v>14</v>
      </c>
      <c r="F117" s="3">
        <v>45303</v>
      </c>
      <c r="G117" t="s">
        <v>278</v>
      </c>
      <c r="H117">
        <v>7</v>
      </c>
      <c r="I117" s="5">
        <v>35.264594718292237</v>
      </c>
      <c r="J117">
        <v>500000000</v>
      </c>
      <c r="K117">
        <v>2.875</v>
      </c>
      <c r="L117" t="s">
        <v>226</v>
      </c>
      <c r="M117">
        <v>0.5</v>
      </c>
      <c r="N117" t="s">
        <v>227</v>
      </c>
      <c r="O117" t="str">
        <f t="shared" si="1"/>
        <v>H</v>
      </c>
      <c r="P117" s="5">
        <v>2.8517723144984104</v>
      </c>
    </row>
    <row r="118" spans="1:16" x14ac:dyDescent="0.25">
      <c r="A118" t="s">
        <v>279</v>
      </c>
      <c r="B118" t="s">
        <v>594</v>
      </c>
      <c r="C118" t="s">
        <v>280</v>
      </c>
      <c r="D118" t="s">
        <v>13</v>
      </c>
      <c r="E118" t="s">
        <v>14</v>
      </c>
      <c r="F118" s="3">
        <v>45448</v>
      </c>
      <c r="G118" t="s">
        <v>281</v>
      </c>
      <c r="H118">
        <v>7</v>
      </c>
      <c r="I118" s="5">
        <v>37.144863882440482</v>
      </c>
      <c r="J118">
        <v>500000000</v>
      </c>
      <c r="K118">
        <v>3.125</v>
      </c>
      <c r="L118" t="s">
        <v>226</v>
      </c>
      <c r="M118">
        <v>0.5</v>
      </c>
      <c r="N118" t="s">
        <v>227</v>
      </c>
      <c r="O118" t="str">
        <f t="shared" si="1"/>
        <v>H</v>
      </c>
      <c r="P118" s="5">
        <v>3.0641460592630363</v>
      </c>
    </row>
    <row r="119" spans="1:16" x14ac:dyDescent="0.25">
      <c r="A119" t="s">
        <v>279</v>
      </c>
      <c r="B119" t="s">
        <v>594</v>
      </c>
      <c r="C119" t="s">
        <v>282</v>
      </c>
      <c r="D119" t="s">
        <v>27</v>
      </c>
      <c r="E119" t="s">
        <v>127</v>
      </c>
      <c r="F119" s="3">
        <v>45799</v>
      </c>
      <c r="G119" t="s">
        <v>283</v>
      </c>
      <c r="H119">
        <v>7</v>
      </c>
      <c r="I119" s="5">
        <v>36.722982216848109</v>
      </c>
      <c r="J119">
        <v>500000000</v>
      </c>
      <c r="K119">
        <v>2.75</v>
      </c>
      <c r="L119" t="s">
        <v>226</v>
      </c>
      <c r="M119">
        <v>0.5</v>
      </c>
      <c r="N119" t="s">
        <v>227</v>
      </c>
      <c r="O119" t="str">
        <f t="shared" si="1"/>
        <v>H</v>
      </c>
      <c r="P119" s="5">
        <v>2.7623754419800708</v>
      </c>
    </row>
    <row r="120" spans="1:16" x14ac:dyDescent="0.25">
      <c r="A120" t="s">
        <v>217</v>
      </c>
      <c r="B120" t="s">
        <v>594</v>
      </c>
      <c r="C120" t="s">
        <v>284</v>
      </c>
      <c r="D120" t="s">
        <v>13</v>
      </c>
      <c r="E120" t="s">
        <v>14</v>
      </c>
      <c r="F120" s="3">
        <v>45313</v>
      </c>
      <c r="G120" t="s">
        <v>193</v>
      </c>
      <c r="H120">
        <v>7</v>
      </c>
      <c r="I120" s="5">
        <v>36.373606388540978</v>
      </c>
      <c r="J120">
        <v>500000000</v>
      </c>
      <c r="K120">
        <v>3</v>
      </c>
      <c r="L120" t="s">
        <v>226</v>
      </c>
      <c r="M120">
        <v>0.5</v>
      </c>
      <c r="N120" t="s">
        <v>227</v>
      </c>
      <c r="O120" t="str">
        <f t="shared" si="1"/>
        <v>H</v>
      </c>
      <c r="P120" s="5">
        <v>2.9616028194458837</v>
      </c>
    </row>
    <row r="121" spans="1:16" x14ac:dyDescent="0.25">
      <c r="A121" t="s">
        <v>178</v>
      </c>
      <c r="B121" t="s">
        <v>594</v>
      </c>
      <c r="C121" t="s">
        <v>285</v>
      </c>
      <c r="D121" t="s">
        <v>13</v>
      </c>
      <c r="E121" t="s">
        <v>14</v>
      </c>
      <c r="F121" s="3">
        <v>44124</v>
      </c>
      <c r="G121" t="s">
        <v>286</v>
      </c>
      <c r="H121">
        <v>7</v>
      </c>
      <c r="I121" s="5">
        <v>17.267890533508929</v>
      </c>
      <c r="J121">
        <v>500000000</v>
      </c>
      <c r="K121">
        <v>0.01</v>
      </c>
      <c r="L121" t="s">
        <v>226</v>
      </c>
      <c r="M121">
        <v>0.5</v>
      </c>
      <c r="N121" t="s">
        <v>227</v>
      </c>
      <c r="O121" t="str">
        <f t="shared" si="1"/>
        <v>H</v>
      </c>
      <c r="P121" s="5">
        <v>1.0509666265547739E-2</v>
      </c>
    </row>
    <row r="122" spans="1:16" x14ac:dyDescent="0.25">
      <c r="A122" t="s">
        <v>178</v>
      </c>
      <c r="B122" t="s">
        <v>594</v>
      </c>
      <c r="C122" t="s">
        <v>287</v>
      </c>
      <c r="D122" t="s">
        <v>13</v>
      </c>
      <c r="E122" t="s">
        <v>14</v>
      </c>
      <c r="F122" s="3">
        <v>45580</v>
      </c>
      <c r="G122" t="s">
        <v>288</v>
      </c>
      <c r="H122">
        <v>7</v>
      </c>
      <c r="I122" s="5">
        <v>37.332519709523339</v>
      </c>
      <c r="J122">
        <v>600000000</v>
      </c>
      <c r="K122">
        <v>2.75</v>
      </c>
      <c r="L122" t="s">
        <v>226</v>
      </c>
      <c r="M122">
        <v>0.5</v>
      </c>
      <c r="N122" t="s">
        <v>227</v>
      </c>
      <c r="O122" t="str">
        <f t="shared" si="1"/>
        <v>H</v>
      </c>
      <c r="P122" s="5">
        <v>2.7549589260669207</v>
      </c>
    </row>
    <row r="123" spans="1:16" x14ac:dyDescent="0.25">
      <c r="A123" t="s">
        <v>56</v>
      </c>
      <c r="B123" t="s">
        <v>594</v>
      </c>
      <c r="C123" t="s">
        <v>289</v>
      </c>
      <c r="D123" t="s">
        <v>13</v>
      </c>
      <c r="E123" t="s">
        <v>14</v>
      </c>
      <c r="F123" s="3">
        <v>44572</v>
      </c>
      <c r="G123" t="s">
        <v>290</v>
      </c>
      <c r="H123">
        <v>8</v>
      </c>
      <c r="I123" s="5">
        <v>38.362419569844747</v>
      </c>
      <c r="J123">
        <v>750000000</v>
      </c>
      <c r="K123">
        <v>0.125</v>
      </c>
      <c r="L123" t="s">
        <v>291</v>
      </c>
      <c r="M123">
        <v>0.52</v>
      </c>
      <c r="N123" t="s">
        <v>292</v>
      </c>
      <c r="O123" t="str">
        <f t="shared" si="1"/>
        <v>H</v>
      </c>
      <c r="P123" s="5">
        <v>0.13971007365515081</v>
      </c>
    </row>
    <row r="124" spans="1:16" x14ac:dyDescent="0.25">
      <c r="A124" t="s">
        <v>56</v>
      </c>
      <c r="B124" t="s">
        <v>594</v>
      </c>
      <c r="C124" t="s">
        <v>293</v>
      </c>
      <c r="D124" t="s">
        <v>13</v>
      </c>
      <c r="E124" t="s">
        <v>14</v>
      </c>
      <c r="F124" s="3">
        <v>43635</v>
      </c>
      <c r="G124" t="s">
        <v>294</v>
      </c>
      <c r="H124">
        <v>8</v>
      </c>
      <c r="I124" s="5">
        <v>25.29442021777896</v>
      </c>
      <c r="J124">
        <v>500000000</v>
      </c>
      <c r="K124">
        <v>0.01</v>
      </c>
      <c r="L124" t="s">
        <v>291</v>
      </c>
      <c r="M124">
        <v>0.52</v>
      </c>
      <c r="N124" t="s">
        <v>292</v>
      </c>
      <c r="O124" t="str">
        <f t="shared" si="1"/>
        <v>H</v>
      </c>
      <c r="P124" s="5">
        <v>1.0436234606553955E-2</v>
      </c>
    </row>
    <row r="125" spans="1:16" x14ac:dyDescent="0.25">
      <c r="A125" t="s">
        <v>59</v>
      </c>
      <c r="B125" t="s">
        <v>594</v>
      </c>
      <c r="C125" t="s">
        <v>295</v>
      </c>
      <c r="D125" t="s">
        <v>27</v>
      </c>
      <c r="E125" t="s">
        <v>28</v>
      </c>
      <c r="F125" s="3">
        <v>44502</v>
      </c>
      <c r="G125" t="s">
        <v>296</v>
      </c>
      <c r="H125">
        <v>8</v>
      </c>
      <c r="I125" s="5">
        <v>24.064066042655611</v>
      </c>
      <c r="J125">
        <v>500000000</v>
      </c>
      <c r="K125">
        <v>0.125</v>
      </c>
      <c r="L125" t="s">
        <v>297</v>
      </c>
      <c r="M125">
        <v>0.52</v>
      </c>
      <c r="N125" t="s">
        <v>298</v>
      </c>
      <c r="O125" t="str">
        <f t="shared" si="1"/>
        <v>K</v>
      </c>
      <c r="P125" s="5">
        <v>0.13824833825497418</v>
      </c>
    </row>
    <row r="126" spans="1:16" x14ac:dyDescent="0.25">
      <c r="A126" t="s">
        <v>59</v>
      </c>
      <c r="B126" t="s">
        <v>594</v>
      </c>
      <c r="C126" t="s">
        <v>299</v>
      </c>
      <c r="D126" t="s">
        <v>27</v>
      </c>
      <c r="E126" t="s">
        <v>28</v>
      </c>
      <c r="F126" s="3">
        <v>44581</v>
      </c>
      <c r="G126" t="s">
        <v>300</v>
      </c>
      <c r="H126">
        <v>8</v>
      </c>
      <c r="I126" s="5">
        <v>20.556364265536128</v>
      </c>
      <c r="J126">
        <v>500000000</v>
      </c>
      <c r="K126">
        <v>0.2</v>
      </c>
      <c r="L126" t="s">
        <v>297</v>
      </c>
      <c r="M126">
        <v>0.52</v>
      </c>
      <c r="N126" t="s">
        <v>298</v>
      </c>
      <c r="O126" t="str">
        <f t="shared" si="1"/>
        <v>K</v>
      </c>
      <c r="P126" s="5">
        <v>0.22325415252723702</v>
      </c>
    </row>
    <row r="127" spans="1:16" x14ac:dyDescent="0.25">
      <c r="A127" t="s">
        <v>22</v>
      </c>
      <c r="B127" t="s">
        <v>594</v>
      </c>
      <c r="C127" t="s">
        <v>301</v>
      </c>
      <c r="D127" t="s">
        <v>13</v>
      </c>
      <c r="E127" t="s">
        <v>14</v>
      </c>
      <c r="F127" s="3">
        <v>44019</v>
      </c>
      <c r="G127" t="s">
        <v>302</v>
      </c>
      <c r="H127">
        <v>8</v>
      </c>
      <c r="I127" s="5">
        <v>17.69093601484261</v>
      </c>
      <c r="J127">
        <v>500000000</v>
      </c>
      <c r="K127">
        <v>0.01</v>
      </c>
      <c r="L127" t="s">
        <v>291</v>
      </c>
      <c r="M127">
        <v>0.52</v>
      </c>
      <c r="N127" t="s">
        <v>292</v>
      </c>
      <c r="O127" t="str">
        <f t="shared" si="1"/>
        <v>H</v>
      </c>
      <c r="P127" s="5">
        <v>1.0695129972566992E-2</v>
      </c>
    </row>
    <row r="128" spans="1:16" x14ac:dyDescent="0.25">
      <c r="A128" t="s">
        <v>22</v>
      </c>
      <c r="B128" t="s">
        <v>594</v>
      </c>
      <c r="C128" t="s">
        <v>303</v>
      </c>
      <c r="D128" t="s">
        <v>13</v>
      </c>
      <c r="E128" t="s">
        <v>14</v>
      </c>
      <c r="F128" s="3">
        <v>43663</v>
      </c>
      <c r="G128" t="s">
        <v>151</v>
      </c>
      <c r="H128">
        <v>8</v>
      </c>
      <c r="I128" s="5">
        <v>12.86112665560432</v>
      </c>
      <c r="J128">
        <v>500000000</v>
      </c>
      <c r="K128">
        <v>0.01</v>
      </c>
      <c r="L128" t="s">
        <v>291</v>
      </c>
      <c r="M128">
        <v>0.52</v>
      </c>
      <c r="N128" t="s">
        <v>292</v>
      </c>
      <c r="O128" t="str">
        <f t="shared" si="1"/>
        <v>H</v>
      </c>
      <c r="P128" s="5">
        <v>1.0435417808040489E-2</v>
      </c>
    </row>
    <row r="129" spans="1:16" x14ac:dyDescent="0.25">
      <c r="A129" t="s">
        <v>22</v>
      </c>
      <c r="B129" t="s">
        <v>594</v>
      </c>
      <c r="C129" t="s">
        <v>304</v>
      </c>
      <c r="D129" t="s">
        <v>13</v>
      </c>
      <c r="E129" t="s">
        <v>18</v>
      </c>
      <c r="F129" s="3">
        <v>44487</v>
      </c>
      <c r="G129" t="s">
        <v>305</v>
      </c>
      <c r="H129">
        <v>8</v>
      </c>
      <c r="I129" s="5">
        <v>23.42737068269091</v>
      </c>
      <c r="J129">
        <v>1000000000</v>
      </c>
      <c r="K129">
        <v>0.125</v>
      </c>
      <c r="L129" t="s">
        <v>291</v>
      </c>
      <c r="M129">
        <v>0.52</v>
      </c>
      <c r="N129" t="s">
        <v>292</v>
      </c>
      <c r="O129" t="str">
        <f t="shared" si="1"/>
        <v>H</v>
      </c>
      <c r="P129" s="5">
        <v>0.13910837098533241</v>
      </c>
    </row>
    <row r="130" spans="1:16" x14ac:dyDescent="0.25">
      <c r="A130" t="s">
        <v>22</v>
      </c>
      <c r="B130" t="s">
        <v>594</v>
      </c>
      <c r="C130" t="s">
        <v>306</v>
      </c>
      <c r="D130" t="s">
        <v>13</v>
      </c>
      <c r="E130" t="s">
        <v>14</v>
      </c>
      <c r="F130" s="3">
        <v>45693</v>
      </c>
      <c r="G130" t="s">
        <v>307</v>
      </c>
      <c r="H130">
        <v>8</v>
      </c>
      <c r="I130" s="5">
        <v>35.641588649615827</v>
      </c>
      <c r="J130">
        <v>500000000</v>
      </c>
      <c r="K130">
        <v>2.75</v>
      </c>
      <c r="L130" t="s">
        <v>291</v>
      </c>
      <c r="M130">
        <v>0.52</v>
      </c>
      <c r="N130" t="s">
        <v>292</v>
      </c>
      <c r="O130" t="str">
        <f t="shared" si="1"/>
        <v>H</v>
      </c>
      <c r="P130" s="5">
        <v>2.7651947451244587</v>
      </c>
    </row>
    <row r="131" spans="1:16" x14ac:dyDescent="0.25">
      <c r="A131" t="s">
        <v>35</v>
      </c>
      <c r="B131" t="s">
        <v>594</v>
      </c>
      <c r="C131" t="s">
        <v>308</v>
      </c>
      <c r="D131" t="s">
        <v>13</v>
      </c>
      <c r="E131" t="s">
        <v>14</v>
      </c>
      <c r="F131" s="3">
        <v>43851</v>
      </c>
      <c r="G131" t="s">
        <v>309</v>
      </c>
      <c r="H131">
        <v>8</v>
      </c>
      <c r="I131" s="5">
        <v>29.654479724407341</v>
      </c>
      <c r="J131">
        <v>750000000</v>
      </c>
      <c r="K131">
        <v>0.1</v>
      </c>
      <c r="L131" t="s">
        <v>291</v>
      </c>
      <c r="M131">
        <v>0.52</v>
      </c>
      <c r="N131" t="s">
        <v>292</v>
      </c>
      <c r="O131" t="str">
        <f t="shared" ref="O131:O194" si="2">MID(L131,7,1)</f>
        <v>H</v>
      </c>
      <c r="P131" s="5">
        <v>0.10575967172197898</v>
      </c>
    </row>
    <row r="132" spans="1:16" x14ac:dyDescent="0.25">
      <c r="A132" t="s">
        <v>143</v>
      </c>
      <c r="B132" t="s">
        <v>594</v>
      </c>
      <c r="C132" t="s">
        <v>310</v>
      </c>
      <c r="D132" t="s">
        <v>13</v>
      </c>
      <c r="E132" t="s">
        <v>14</v>
      </c>
      <c r="F132" s="3">
        <v>43872</v>
      </c>
      <c r="G132" t="s">
        <v>311</v>
      </c>
      <c r="H132">
        <v>8</v>
      </c>
      <c r="I132" s="5">
        <v>14.82178396907381</v>
      </c>
      <c r="J132">
        <v>500000000</v>
      </c>
      <c r="K132">
        <v>0.01</v>
      </c>
      <c r="L132" t="s">
        <v>291</v>
      </c>
      <c r="M132">
        <v>0.52</v>
      </c>
      <c r="N132" t="s">
        <v>292</v>
      </c>
      <c r="O132" t="str">
        <f t="shared" si="2"/>
        <v>H</v>
      </c>
      <c r="P132" s="5">
        <v>1.0592939805619555E-2</v>
      </c>
    </row>
    <row r="133" spans="1:16" x14ac:dyDescent="0.25">
      <c r="A133" t="s">
        <v>74</v>
      </c>
      <c r="B133" t="s">
        <v>594</v>
      </c>
      <c r="C133" t="s">
        <v>312</v>
      </c>
      <c r="D133" t="s">
        <v>13</v>
      </c>
      <c r="E133" t="s">
        <v>14</v>
      </c>
      <c r="F133" s="3">
        <v>43608</v>
      </c>
      <c r="G133" t="s">
        <v>313</v>
      </c>
      <c r="H133">
        <v>8</v>
      </c>
      <c r="I133" s="5">
        <v>11.564440735299801</v>
      </c>
      <c r="J133">
        <v>750000000</v>
      </c>
      <c r="K133">
        <v>0.125</v>
      </c>
      <c r="L133" t="s">
        <v>291</v>
      </c>
      <c r="M133">
        <v>0.52</v>
      </c>
      <c r="N133" t="s">
        <v>292</v>
      </c>
      <c r="O133" t="str">
        <f t="shared" si="2"/>
        <v>H</v>
      </c>
      <c r="P133" s="5">
        <v>0.12961493993643683</v>
      </c>
    </row>
    <row r="134" spans="1:16" x14ac:dyDescent="0.25">
      <c r="A134" t="s">
        <v>74</v>
      </c>
      <c r="B134" t="s">
        <v>594</v>
      </c>
      <c r="C134" t="s">
        <v>314</v>
      </c>
      <c r="D134" t="s">
        <v>13</v>
      </c>
      <c r="E134" t="s">
        <v>18</v>
      </c>
      <c r="F134" s="3">
        <v>44817</v>
      </c>
      <c r="G134" t="s">
        <v>315</v>
      </c>
      <c r="H134">
        <v>8</v>
      </c>
      <c r="I134" s="5">
        <v>28.034918886841648</v>
      </c>
      <c r="J134">
        <v>1000000000</v>
      </c>
      <c r="K134">
        <v>2.375</v>
      </c>
      <c r="L134" t="s">
        <v>291</v>
      </c>
      <c r="M134">
        <v>0.52</v>
      </c>
      <c r="N134" t="s">
        <v>292</v>
      </c>
      <c r="O134" t="str">
        <f t="shared" si="2"/>
        <v>H</v>
      </c>
      <c r="P134" s="5">
        <v>2.4036758529254003</v>
      </c>
    </row>
    <row r="135" spans="1:16" x14ac:dyDescent="0.25">
      <c r="A135" t="s">
        <v>50</v>
      </c>
      <c r="B135" t="s">
        <v>594</v>
      </c>
      <c r="C135" t="s">
        <v>316</v>
      </c>
      <c r="D135" t="s">
        <v>13</v>
      </c>
      <c r="E135" t="s">
        <v>14</v>
      </c>
      <c r="F135" s="3">
        <v>44665</v>
      </c>
      <c r="G135" t="s">
        <v>317</v>
      </c>
      <c r="H135">
        <v>8</v>
      </c>
      <c r="I135" s="5">
        <v>21.100085161686</v>
      </c>
      <c r="J135">
        <v>1000000000</v>
      </c>
      <c r="K135">
        <v>1.25</v>
      </c>
      <c r="L135" t="s">
        <v>291</v>
      </c>
      <c r="M135">
        <v>0.52</v>
      </c>
      <c r="N135" t="s">
        <v>292</v>
      </c>
      <c r="O135" t="str">
        <f t="shared" si="2"/>
        <v>H</v>
      </c>
      <c r="P135" s="5">
        <v>1.3211994376975196</v>
      </c>
    </row>
    <row r="136" spans="1:16" x14ac:dyDescent="0.25">
      <c r="A136" t="s">
        <v>53</v>
      </c>
      <c r="B136" t="s">
        <v>594</v>
      </c>
      <c r="C136" t="s">
        <v>318</v>
      </c>
      <c r="D136" t="s">
        <v>13</v>
      </c>
      <c r="E136" t="s">
        <v>14</v>
      </c>
      <c r="F136" s="3">
        <v>43280</v>
      </c>
      <c r="G136" t="s">
        <v>319</v>
      </c>
      <c r="H136">
        <v>8</v>
      </c>
      <c r="I136" s="5">
        <v>14.61836066362139</v>
      </c>
      <c r="J136">
        <v>750000000</v>
      </c>
      <c r="K136">
        <v>0.5</v>
      </c>
      <c r="L136" t="s">
        <v>291</v>
      </c>
      <c r="M136">
        <v>0.52</v>
      </c>
      <c r="N136" t="s">
        <v>292</v>
      </c>
      <c r="O136" t="str">
        <f t="shared" si="2"/>
        <v>H</v>
      </c>
      <c r="P136" s="5">
        <v>0.50752661977120694</v>
      </c>
    </row>
    <row r="137" spans="1:16" x14ac:dyDescent="0.25">
      <c r="A137" t="s">
        <v>320</v>
      </c>
      <c r="B137" t="s">
        <v>594</v>
      </c>
      <c r="C137" t="s">
        <v>321</v>
      </c>
      <c r="D137" t="s">
        <v>13</v>
      </c>
      <c r="E137" t="s">
        <v>14</v>
      </c>
      <c r="F137" s="3">
        <v>45320</v>
      </c>
      <c r="G137" t="s">
        <v>322</v>
      </c>
      <c r="H137">
        <v>8</v>
      </c>
      <c r="I137" s="5">
        <v>41.292867017570259</v>
      </c>
      <c r="J137">
        <v>500000000</v>
      </c>
      <c r="K137">
        <v>3.125</v>
      </c>
      <c r="L137" t="s">
        <v>291</v>
      </c>
      <c r="M137">
        <v>0.52</v>
      </c>
      <c r="N137" t="s">
        <v>292</v>
      </c>
      <c r="O137" t="str">
        <f t="shared" si="2"/>
        <v>H</v>
      </c>
      <c r="P137" s="5">
        <v>3.0728838892385149</v>
      </c>
    </row>
    <row r="138" spans="1:16" x14ac:dyDescent="0.25">
      <c r="A138" t="s">
        <v>11</v>
      </c>
      <c r="B138" t="s">
        <v>594</v>
      </c>
      <c r="C138" t="s">
        <v>323</v>
      </c>
      <c r="D138" t="s">
        <v>13</v>
      </c>
      <c r="E138" t="s">
        <v>18</v>
      </c>
      <c r="F138" s="3">
        <v>44089</v>
      </c>
      <c r="G138" t="s">
        <v>145</v>
      </c>
      <c r="H138">
        <v>8</v>
      </c>
      <c r="I138" s="5">
        <v>25.126343769287789</v>
      </c>
      <c r="J138">
        <v>1000000000</v>
      </c>
      <c r="K138">
        <v>0.01</v>
      </c>
      <c r="L138" t="s">
        <v>291</v>
      </c>
      <c r="M138">
        <v>0.52</v>
      </c>
      <c r="N138" t="s">
        <v>292</v>
      </c>
      <c r="O138" t="str">
        <f t="shared" si="2"/>
        <v>H</v>
      </c>
      <c r="P138" s="5">
        <v>1.0786555637053977E-2</v>
      </c>
    </row>
    <row r="139" spans="1:16" x14ac:dyDescent="0.25">
      <c r="A139" t="s">
        <v>11</v>
      </c>
      <c r="B139" t="s">
        <v>594</v>
      </c>
      <c r="C139" t="s">
        <v>324</v>
      </c>
      <c r="D139" t="s">
        <v>13</v>
      </c>
      <c r="E139" t="s">
        <v>14</v>
      </c>
      <c r="F139" s="3">
        <v>44337</v>
      </c>
      <c r="G139" t="s">
        <v>79</v>
      </c>
      <c r="H139">
        <v>8</v>
      </c>
      <c r="I139" s="5">
        <v>29.103326792723831</v>
      </c>
      <c r="J139">
        <v>500000000</v>
      </c>
      <c r="K139">
        <v>0.01</v>
      </c>
      <c r="L139" t="s">
        <v>291</v>
      </c>
      <c r="M139">
        <v>0.52</v>
      </c>
      <c r="N139" t="s">
        <v>292</v>
      </c>
      <c r="O139" t="str">
        <f t="shared" si="2"/>
        <v>H</v>
      </c>
      <c r="P139" s="5">
        <v>1.1001886823590247E-2</v>
      </c>
    </row>
    <row r="140" spans="1:16" x14ac:dyDescent="0.25">
      <c r="A140" t="s">
        <v>178</v>
      </c>
      <c r="B140" t="s">
        <v>594</v>
      </c>
      <c r="C140" t="s">
        <v>325</v>
      </c>
      <c r="D140" t="s">
        <v>13</v>
      </c>
      <c r="E140" t="s">
        <v>14</v>
      </c>
      <c r="F140" s="3">
        <v>44489</v>
      </c>
      <c r="G140" t="s">
        <v>326</v>
      </c>
      <c r="H140">
        <v>8</v>
      </c>
      <c r="I140" s="5">
        <v>29.974907649688081</v>
      </c>
      <c r="J140">
        <v>500000000</v>
      </c>
      <c r="K140">
        <v>0.125</v>
      </c>
      <c r="L140" t="s">
        <v>291</v>
      </c>
      <c r="M140">
        <v>0.52</v>
      </c>
      <c r="N140" t="s">
        <v>292</v>
      </c>
      <c r="O140" t="str">
        <f t="shared" si="2"/>
        <v>H</v>
      </c>
      <c r="P140" s="5">
        <v>0.13848497438027974</v>
      </c>
    </row>
    <row r="141" spans="1:16" x14ac:dyDescent="0.25">
      <c r="A141" t="s">
        <v>106</v>
      </c>
      <c r="B141" t="s">
        <v>594</v>
      </c>
      <c r="C141" t="s">
        <v>327</v>
      </c>
      <c r="D141" t="s">
        <v>13</v>
      </c>
      <c r="E141" t="s">
        <v>14</v>
      </c>
      <c r="F141" s="3">
        <v>44950</v>
      </c>
      <c r="G141" t="s">
        <v>328</v>
      </c>
      <c r="H141">
        <v>9</v>
      </c>
      <c r="I141" s="5">
        <v>39.76495011932186</v>
      </c>
      <c r="J141">
        <v>500000000</v>
      </c>
      <c r="K141">
        <v>2.875</v>
      </c>
      <c r="L141" t="s">
        <v>329</v>
      </c>
      <c r="M141">
        <v>0.55000000000000004</v>
      </c>
      <c r="N141" t="s">
        <v>330</v>
      </c>
      <c r="O141" t="str">
        <f t="shared" si="2"/>
        <v>H</v>
      </c>
      <c r="P141" s="5">
        <v>2.8700778165446259</v>
      </c>
    </row>
    <row r="142" spans="1:16" x14ac:dyDescent="0.25">
      <c r="A142" t="s">
        <v>59</v>
      </c>
      <c r="B142" t="s">
        <v>594</v>
      </c>
      <c r="C142" t="s">
        <v>331</v>
      </c>
      <c r="D142" t="s">
        <v>27</v>
      </c>
      <c r="E142" t="s">
        <v>28</v>
      </c>
      <c r="F142" s="3">
        <v>43298</v>
      </c>
      <c r="G142" t="s">
        <v>151</v>
      </c>
      <c r="H142">
        <v>9</v>
      </c>
      <c r="I142" s="5">
        <v>6.7038669365401802</v>
      </c>
      <c r="J142">
        <v>500000000</v>
      </c>
      <c r="K142">
        <v>0.625</v>
      </c>
      <c r="L142" t="s">
        <v>332</v>
      </c>
      <c r="M142">
        <v>0.55000000000000004</v>
      </c>
      <c r="N142" t="s">
        <v>333</v>
      </c>
      <c r="O142" t="str">
        <f t="shared" si="2"/>
        <v>K</v>
      </c>
      <c r="P142" s="5">
        <v>0.64346751775970357</v>
      </c>
    </row>
    <row r="143" spans="1:16" x14ac:dyDescent="0.25">
      <c r="A143" t="s">
        <v>59</v>
      </c>
      <c r="B143" t="s">
        <v>594</v>
      </c>
      <c r="C143" t="s">
        <v>334</v>
      </c>
      <c r="D143" t="s">
        <v>27</v>
      </c>
      <c r="E143" t="s">
        <v>28</v>
      </c>
      <c r="F143" s="3">
        <v>44805</v>
      </c>
      <c r="G143" t="s">
        <v>335</v>
      </c>
      <c r="H143">
        <v>9</v>
      </c>
      <c r="I143" s="5">
        <v>30.836327278273071</v>
      </c>
      <c r="J143">
        <v>500000000</v>
      </c>
      <c r="K143">
        <v>2.125</v>
      </c>
      <c r="L143" t="s">
        <v>332</v>
      </c>
      <c r="M143">
        <v>0.55000000000000004</v>
      </c>
      <c r="N143" t="s">
        <v>333</v>
      </c>
      <c r="O143" t="str">
        <f t="shared" si="2"/>
        <v>K</v>
      </c>
      <c r="P143" s="5">
        <v>2.1968479109268633</v>
      </c>
    </row>
    <row r="144" spans="1:16" x14ac:dyDescent="0.25">
      <c r="A144" t="s">
        <v>25</v>
      </c>
      <c r="B144" t="s">
        <v>594</v>
      </c>
      <c r="C144" t="s">
        <v>336</v>
      </c>
      <c r="D144" t="s">
        <v>13</v>
      </c>
      <c r="E144" t="s">
        <v>14</v>
      </c>
      <c r="F144" s="3">
        <v>43808</v>
      </c>
      <c r="G144" t="s">
        <v>337</v>
      </c>
      <c r="H144">
        <v>9</v>
      </c>
      <c r="I144" s="5">
        <v>21.285032284821028</v>
      </c>
      <c r="J144">
        <v>500000000</v>
      </c>
      <c r="K144">
        <v>0.05</v>
      </c>
      <c r="L144" t="s">
        <v>329</v>
      </c>
      <c r="M144">
        <v>0.55000000000000004</v>
      </c>
      <c r="N144" t="s">
        <v>330</v>
      </c>
      <c r="O144" t="str">
        <f t="shared" si="2"/>
        <v>H</v>
      </c>
      <c r="P144" s="5">
        <v>5.462719669614715E-2</v>
      </c>
    </row>
    <row r="145" spans="1:16" x14ac:dyDescent="0.25">
      <c r="A145" t="s">
        <v>338</v>
      </c>
      <c r="B145" t="s">
        <v>594</v>
      </c>
      <c r="C145" t="s">
        <v>339</v>
      </c>
      <c r="D145" t="s">
        <v>13</v>
      </c>
      <c r="E145" t="s">
        <v>14</v>
      </c>
      <c r="F145" s="3">
        <v>43867</v>
      </c>
      <c r="G145" t="s">
        <v>340</v>
      </c>
      <c r="H145">
        <v>9</v>
      </c>
      <c r="I145" s="5">
        <v>31.060520422855831</v>
      </c>
      <c r="J145">
        <v>500000000</v>
      </c>
      <c r="K145">
        <v>0.01</v>
      </c>
      <c r="L145" t="s">
        <v>329</v>
      </c>
      <c r="M145">
        <v>0.55000000000000004</v>
      </c>
      <c r="N145" t="s">
        <v>330</v>
      </c>
      <c r="O145" t="str">
        <f t="shared" si="2"/>
        <v>H</v>
      </c>
      <c r="P145" s="5">
        <v>1.0927648042311854E-2</v>
      </c>
    </row>
    <row r="146" spans="1:16" x14ac:dyDescent="0.25">
      <c r="A146" t="s">
        <v>35</v>
      </c>
      <c r="B146" t="s">
        <v>594</v>
      </c>
      <c r="C146" t="s">
        <v>341</v>
      </c>
      <c r="D146" t="s">
        <v>13</v>
      </c>
      <c r="E146" t="s">
        <v>14</v>
      </c>
      <c r="F146" s="3">
        <v>43341</v>
      </c>
      <c r="G146" t="s">
        <v>342</v>
      </c>
      <c r="H146">
        <v>9</v>
      </c>
      <c r="I146" s="5">
        <v>23.02200434715391</v>
      </c>
      <c r="J146">
        <v>750000000</v>
      </c>
      <c r="K146">
        <v>0.625</v>
      </c>
      <c r="L146" t="s">
        <v>329</v>
      </c>
      <c r="M146">
        <v>0.55000000000000004</v>
      </c>
      <c r="N146" t="s">
        <v>330</v>
      </c>
      <c r="O146" t="str">
        <f t="shared" si="2"/>
        <v>H</v>
      </c>
      <c r="P146" s="5">
        <v>0.64671005660006409</v>
      </c>
    </row>
    <row r="147" spans="1:16" x14ac:dyDescent="0.25">
      <c r="A147" t="s">
        <v>45</v>
      </c>
      <c r="B147" t="s">
        <v>594</v>
      </c>
      <c r="C147" t="s">
        <v>343</v>
      </c>
      <c r="D147" t="s">
        <v>13</v>
      </c>
      <c r="E147" t="s">
        <v>28</v>
      </c>
      <c r="F147" s="3">
        <v>43726</v>
      </c>
      <c r="G147" t="s">
        <v>344</v>
      </c>
      <c r="H147">
        <v>9</v>
      </c>
      <c r="I147" s="5">
        <v>13.035939250498791</v>
      </c>
      <c r="J147">
        <v>650000000</v>
      </c>
      <c r="K147">
        <v>0.01</v>
      </c>
      <c r="L147" t="s">
        <v>329</v>
      </c>
      <c r="M147">
        <v>0.55000000000000004</v>
      </c>
      <c r="N147" t="s">
        <v>330</v>
      </c>
      <c r="O147" t="str">
        <f t="shared" si="2"/>
        <v>H</v>
      </c>
      <c r="P147" s="5">
        <v>1.0746968011649715E-2</v>
      </c>
    </row>
    <row r="148" spans="1:16" x14ac:dyDescent="0.25">
      <c r="A148" t="s">
        <v>50</v>
      </c>
      <c r="B148" t="s">
        <v>594</v>
      </c>
      <c r="C148" t="s">
        <v>345</v>
      </c>
      <c r="D148" t="s">
        <v>13</v>
      </c>
      <c r="E148" t="s">
        <v>14</v>
      </c>
      <c r="F148" s="3">
        <v>42970</v>
      </c>
      <c r="G148" t="s">
        <v>346</v>
      </c>
      <c r="H148">
        <v>9</v>
      </c>
      <c r="I148" s="5">
        <v>5.5894798902105833</v>
      </c>
      <c r="J148">
        <v>750000000</v>
      </c>
      <c r="K148">
        <v>0.625</v>
      </c>
      <c r="L148" t="s">
        <v>329</v>
      </c>
      <c r="M148">
        <v>0.55000000000000004</v>
      </c>
      <c r="N148" t="s">
        <v>330</v>
      </c>
      <c r="O148" t="str">
        <f t="shared" si="2"/>
        <v>H</v>
      </c>
      <c r="P148" s="5">
        <v>0.63600932135261368</v>
      </c>
    </row>
    <row r="149" spans="1:16" x14ac:dyDescent="0.25">
      <c r="A149" t="s">
        <v>50</v>
      </c>
      <c r="B149" t="s">
        <v>594</v>
      </c>
      <c r="C149" t="s">
        <v>347</v>
      </c>
      <c r="D149" t="s">
        <v>13</v>
      </c>
      <c r="E149" t="s">
        <v>14</v>
      </c>
      <c r="F149" s="3">
        <v>43291</v>
      </c>
      <c r="G149" t="s">
        <v>348</v>
      </c>
      <c r="H149">
        <v>9</v>
      </c>
      <c r="I149" s="5">
        <v>12.823620971611581</v>
      </c>
      <c r="J149">
        <v>750000000</v>
      </c>
      <c r="K149">
        <v>0.625</v>
      </c>
      <c r="L149" t="s">
        <v>329</v>
      </c>
      <c r="M149">
        <v>0.55000000000000004</v>
      </c>
      <c r="N149" t="s">
        <v>330</v>
      </c>
      <c r="O149" t="str">
        <f t="shared" si="2"/>
        <v>H</v>
      </c>
      <c r="P149" s="5">
        <v>0.64758786472148533</v>
      </c>
    </row>
    <row r="150" spans="1:16" x14ac:dyDescent="0.25">
      <c r="A150" t="s">
        <v>106</v>
      </c>
      <c r="B150" t="s">
        <v>594</v>
      </c>
      <c r="C150" t="s">
        <v>349</v>
      </c>
      <c r="D150" t="s">
        <v>13</v>
      </c>
      <c r="E150" t="s">
        <v>14</v>
      </c>
      <c r="F150" s="3">
        <v>45398</v>
      </c>
      <c r="G150" t="s">
        <v>350</v>
      </c>
      <c r="H150">
        <v>10</v>
      </c>
      <c r="I150" s="5">
        <v>42.605080552623541</v>
      </c>
      <c r="J150">
        <v>500000000</v>
      </c>
      <c r="K150">
        <v>3</v>
      </c>
      <c r="L150" t="s">
        <v>351</v>
      </c>
      <c r="M150">
        <v>0.57999999999999996</v>
      </c>
      <c r="N150" t="s">
        <v>352</v>
      </c>
      <c r="O150" t="str">
        <f t="shared" si="2"/>
        <v>H</v>
      </c>
      <c r="P150" s="5">
        <v>2.9935489021159403</v>
      </c>
    </row>
    <row r="151" spans="1:16" x14ac:dyDescent="0.25">
      <c r="A151" t="s">
        <v>106</v>
      </c>
      <c r="B151" t="s">
        <v>594</v>
      </c>
      <c r="C151" t="s">
        <v>353</v>
      </c>
      <c r="D151" t="s">
        <v>13</v>
      </c>
      <c r="E151" t="s">
        <v>14</v>
      </c>
      <c r="F151" s="3">
        <v>44126</v>
      </c>
      <c r="G151" t="s">
        <v>354</v>
      </c>
      <c r="H151">
        <v>10</v>
      </c>
      <c r="I151" s="5">
        <v>24.838858133869341</v>
      </c>
      <c r="J151">
        <v>500000000</v>
      </c>
      <c r="K151">
        <v>0.01</v>
      </c>
      <c r="L151" t="s">
        <v>351</v>
      </c>
      <c r="M151">
        <v>0.57999999999999996</v>
      </c>
      <c r="N151" t="s">
        <v>352</v>
      </c>
      <c r="O151" t="str">
        <f t="shared" si="2"/>
        <v>H</v>
      </c>
      <c r="P151" s="5">
        <v>1.1445052303889029E-2</v>
      </c>
    </row>
    <row r="152" spans="1:16" x14ac:dyDescent="0.25">
      <c r="A152" t="s">
        <v>106</v>
      </c>
      <c r="B152" t="s">
        <v>594</v>
      </c>
      <c r="C152" t="s">
        <v>355</v>
      </c>
      <c r="D152" t="s">
        <v>13</v>
      </c>
      <c r="E152" t="s">
        <v>14</v>
      </c>
      <c r="F152" s="3">
        <v>44497</v>
      </c>
      <c r="G152" t="s">
        <v>356</v>
      </c>
      <c r="H152">
        <v>10</v>
      </c>
      <c r="I152" s="5">
        <v>30.886489951701918</v>
      </c>
      <c r="J152">
        <v>500000000</v>
      </c>
      <c r="K152">
        <v>0.2</v>
      </c>
      <c r="L152" t="s">
        <v>351</v>
      </c>
      <c r="M152">
        <v>0.57999999999999996</v>
      </c>
      <c r="N152" t="s">
        <v>352</v>
      </c>
      <c r="O152" t="str">
        <f t="shared" si="2"/>
        <v>H</v>
      </c>
      <c r="P152" s="5">
        <v>0.23427707950192692</v>
      </c>
    </row>
    <row r="153" spans="1:16" x14ac:dyDescent="0.25">
      <c r="A153" t="s">
        <v>59</v>
      </c>
      <c r="B153" t="s">
        <v>594</v>
      </c>
      <c r="C153" t="s">
        <v>357</v>
      </c>
      <c r="D153" t="s">
        <v>27</v>
      </c>
      <c r="E153" t="s">
        <v>28</v>
      </c>
      <c r="F153" s="3">
        <v>43119</v>
      </c>
      <c r="G153" t="s">
        <v>358</v>
      </c>
      <c r="H153">
        <v>10</v>
      </c>
      <c r="I153" s="5">
        <v>12.788496656795219</v>
      </c>
      <c r="J153">
        <v>650000000</v>
      </c>
      <c r="K153">
        <v>0.75</v>
      </c>
      <c r="L153" t="s">
        <v>351</v>
      </c>
      <c r="M153">
        <v>0.57999999999999996</v>
      </c>
      <c r="N153" t="s">
        <v>359</v>
      </c>
      <c r="O153" t="str">
        <f t="shared" si="2"/>
        <v>H</v>
      </c>
      <c r="P153" s="5">
        <v>0.7773148436042534</v>
      </c>
    </row>
    <row r="154" spans="1:16" x14ac:dyDescent="0.25">
      <c r="A154" t="s">
        <v>59</v>
      </c>
      <c r="B154" t="s">
        <v>594</v>
      </c>
      <c r="C154" t="s">
        <v>360</v>
      </c>
      <c r="D154" t="s">
        <v>13</v>
      </c>
      <c r="E154" t="s">
        <v>14</v>
      </c>
      <c r="F154" s="3">
        <v>44316</v>
      </c>
      <c r="G154" t="s">
        <v>252</v>
      </c>
      <c r="H154">
        <v>10</v>
      </c>
      <c r="I154" s="5">
        <v>26.770263455865749</v>
      </c>
      <c r="J154">
        <v>500000000</v>
      </c>
      <c r="K154">
        <v>0.05</v>
      </c>
      <c r="L154" t="s">
        <v>351</v>
      </c>
      <c r="M154">
        <v>0.57999999999999996</v>
      </c>
      <c r="N154" t="s">
        <v>352</v>
      </c>
      <c r="O154" t="str">
        <f t="shared" si="2"/>
        <v>H</v>
      </c>
      <c r="P154" s="5">
        <v>5.8072683771007792E-2</v>
      </c>
    </row>
    <row r="155" spans="1:16" x14ac:dyDescent="0.25">
      <c r="A155" t="s">
        <v>59</v>
      </c>
      <c r="B155" t="s">
        <v>594</v>
      </c>
      <c r="C155" t="s">
        <v>361</v>
      </c>
      <c r="D155" t="s">
        <v>27</v>
      </c>
      <c r="E155" t="s">
        <v>28</v>
      </c>
      <c r="F155" s="3">
        <v>44740</v>
      </c>
      <c r="G155" t="s">
        <v>362</v>
      </c>
      <c r="H155">
        <v>10</v>
      </c>
      <c r="I155" s="5">
        <v>35.10159328945393</v>
      </c>
      <c r="J155">
        <v>500000000</v>
      </c>
      <c r="K155">
        <v>2.5</v>
      </c>
      <c r="L155" t="s">
        <v>363</v>
      </c>
      <c r="M155">
        <v>0.57999999999999996</v>
      </c>
      <c r="N155" t="s">
        <v>359</v>
      </c>
      <c r="O155" t="str">
        <f t="shared" si="2"/>
        <v>K</v>
      </c>
      <c r="P155" s="5">
        <v>2.5485888463557727</v>
      </c>
    </row>
    <row r="156" spans="1:16" x14ac:dyDescent="0.25">
      <c r="A156" t="s">
        <v>59</v>
      </c>
      <c r="B156" t="s">
        <v>594</v>
      </c>
      <c r="C156" t="s">
        <v>364</v>
      </c>
      <c r="D156" t="s">
        <v>27</v>
      </c>
      <c r="E156" t="s">
        <v>28</v>
      </c>
      <c r="F156" s="3">
        <v>44938</v>
      </c>
      <c r="G156" t="s">
        <v>365</v>
      </c>
      <c r="H156">
        <v>10</v>
      </c>
      <c r="I156" s="5">
        <v>38.105058527015949</v>
      </c>
      <c r="J156">
        <v>500000000</v>
      </c>
      <c r="K156">
        <v>2.875</v>
      </c>
      <c r="L156" t="s">
        <v>363</v>
      </c>
      <c r="M156">
        <v>0.57999999999999996</v>
      </c>
      <c r="N156" t="s">
        <v>359</v>
      </c>
      <c r="O156" t="str">
        <f t="shared" si="2"/>
        <v>K</v>
      </c>
      <c r="P156" s="5">
        <v>2.8725009241959492</v>
      </c>
    </row>
    <row r="157" spans="1:16" x14ac:dyDescent="0.25">
      <c r="A157" t="s">
        <v>22</v>
      </c>
      <c r="B157" t="s">
        <v>594</v>
      </c>
      <c r="C157" t="s">
        <v>366</v>
      </c>
      <c r="D157" t="s">
        <v>13</v>
      </c>
      <c r="E157" t="s">
        <v>14</v>
      </c>
      <c r="F157" s="3">
        <v>43614</v>
      </c>
      <c r="G157" t="s">
        <v>367</v>
      </c>
      <c r="H157">
        <v>10</v>
      </c>
      <c r="I157" s="5">
        <v>25.48356018097607</v>
      </c>
      <c r="J157">
        <v>500000000</v>
      </c>
      <c r="K157">
        <v>0.375</v>
      </c>
      <c r="L157" t="s">
        <v>351</v>
      </c>
      <c r="M157">
        <v>0.57999999999999996</v>
      </c>
      <c r="N157" t="s">
        <v>352</v>
      </c>
      <c r="O157" t="str">
        <f t="shared" si="2"/>
        <v>H</v>
      </c>
      <c r="P157" s="5">
        <v>0.40603750703798347</v>
      </c>
    </row>
    <row r="158" spans="1:16" x14ac:dyDescent="0.25">
      <c r="A158" t="s">
        <v>22</v>
      </c>
      <c r="B158" t="s">
        <v>594</v>
      </c>
      <c r="C158" t="s">
        <v>368</v>
      </c>
      <c r="D158" t="s">
        <v>13</v>
      </c>
      <c r="E158" t="s">
        <v>14</v>
      </c>
      <c r="F158" s="3">
        <v>44223</v>
      </c>
      <c r="G158" t="s">
        <v>369</v>
      </c>
      <c r="H158">
        <v>10</v>
      </c>
      <c r="I158" s="5">
        <v>27.664597187533499</v>
      </c>
      <c r="J158">
        <v>500000000</v>
      </c>
      <c r="K158">
        <v>0.01</v>
      </c>
      <c r="L158" t="s">
        <v>351</v>
      </c>
      <c r="M158">
        <v>0.57999999999999996</v>
      </c>
      <c r="N158" t="s">
        <v>352</v>
      </c>
      <c r="O158" t="str">
        <f t="shared" si="2"/>
        <v>H</v>
      </c>
      <c r="P158" s="5">
        <v>1.1570993832660288E-2</v>
      </c>
    </row>
    <row r="159" spans="1:16" x14ac:dyDescent="0.25">
      <c r="A159" t="s">
        <v>22</v>
      </c>
      <c r="B159" t="s">
        <v>594</v>
      </c>
      <c r="C159" t="s">
        <v>370</v>
      </c>
      <c r="D159" t="s">
        <v>13</v>
      </c>
      <c r="E159" t="s">
        <v>14</v>
      </c>
      <c r="F159" s="3">
        <v>44936</v>
      </c>
      <c r="G159" t="s">
        <v>371</v>
      </c>
      <c r="H159">
        <v>10</v>
      </c>
      <c r="I159" s="5">
        <v>37.775423937315779</v>
      </c>
      <c r="J159">
        <v>750000000</v>
      </c>
      <c r="K159">
        <v>3</v>
      </c>
      <c r="L159" t="s">
        <v>351</v>
      </c>
      <c r="M159">
        <v>0.57999999999999996</v>
      </c>
      <c r="N159" t="s">
        <v>352</v>
      </c>
      <c r="O159" t="str">
        <f t="shared" si="2"/>
        <v>H</v>
      </c>
      <c r="P159" s="5">
        <v>2.9672123040403542</v>
      </c>
    </row>
    <row r="160" spans="1:16" x14ac:dyDescent="0.25">
      <c r="A160" t="s">
        <v>22</v>
      </c>
      <c r="B160" t="s">
        <v>594</v>
      </c>
      <c r="C160" t="s">
        <v>372</v>
      </c>
      <c r="D160" t="s">
        <v>13</v>
      </c>
      <c r="E160" t="s">
        <v>14</v>
      </c>
      <c r="F160" s="3">
        <v>44076</v>
      </c>
      <c r="G160" t="s">
        <v>373</v>
      </c>
      <c r="H160">
        <v>10</v>
      </c>
      <c r="I160" s="5">
        <v>24.941082049079629</v>
      </c>
      <c r="J160">
        <v>500000000</v>
      </c>
      <c r="K160">
        <v>0.01</v>
      </c>
      <c r="L160" t="s">
        <v>351</v>
      </c>
      <c r="M160">
        <v>0.57999999999999996</v>
      </c>
      <c r="N160" t="s">
        <v>352</v>
      </c>
      <c r="O160" t="str">
        <f t="shared" si="2"/>
        <v>H</v>
      </c>
      <c r="P160" s="5">
        <v>1.1408687715695502E-2</v>
      </c>
    </row>
    <row r="161" spans="1:16" x14ac:dyDescent="0.25">
      <c r="A161" t="s">
        <v>22</v>
      </c>
      <c r="B161" t="s">
        <v>594</v>
      </c>
      <c r="C161" t="s">
        <v>374</v>
      </c>
      <c r="D161" t="s">
        <v>13</v>
      </c>
      <c r="E161" t="s">
        <v>14</v>
      </c>
      <c r="F161" s="3">
        <v>44691</v>
      </c>
      <c r="G161" t="s">
        <v>375</v>
      </c>
      <c r="H161">
        <v>10</v>
      </c>
      <c r="I161" s="5">
        <v>31.658661429087498</v>
      </c>
      <c r="J161">
        <v>750000000</v>
      </c>
      <c r="K161">
        <v>1.75</v>
      </c>
      <c r="L161" t="s">
        <v>351</v>
      </c>
      <c r="M161">
        <v>0.57999999999999996</v>
      </c>
      <c r="N161" t="s">
        <v>352</v>
      </c>
      <c r="O161" t="str">
        <f t="shared" si="2"/>
        <v>H</v>
      </c>
      <c r="P161" s="5">
        <v>1.8684404394571914</v>
      </c>
    </row>
    <row r="162" spans="1:16" x14ac:dyDescent="0.25">
      <c r="A162" t="s">
        <v>25</v>
      </c>
      <c r="B162" t="s">
        <v>594</v>
      </c>
      <c r="C162" t="s">
        <v>376</v>
      </c>
      <c r="D162" t="s">
        <v>13</v>
      </c>
      <c r="E162" t="s">
        <v>14</v>
      </c>
      <c r="F162" s="3">
        <v>45364</v>
      </c>
      <c r="G162" t="s">
        <v>377</v>
      </c>
      <c r="H162">
        <v>10</v>
      </c>
      <c r="I162" s="5">
        <v>40.840869414178613</v>
      </c>
      <c r="J162">
        <v>1000000000</v>
      </c>
      <c r="K162">
        <v>3</v>
      </c>
      <c r="L162" t="s">
        <v>351</v>
      </c>
      <c r="M162">
        <v>0.57999999999999996</v>
      </c>
      <c r="N162" t="s">
        <v>352</v>
      </c>
      <c r="O162" t="str">
        <f t="shared" si="2"/>
        <v>H</v>
      </c>
      <c r="P162" s="5">
        <v>2.9842580388450921</v>
      </c>
    </row>
    <row r="163" spans="1:16" x14ac:dyDescent="0.25">
      <c r="A163" t="s">
        <v>25</v>
      </c>
      <c r="B163" t="s">
        <v>594</v>
      </c>
      <c r="C163" t="s">
        <v>383</v>
      </c>
      <c r="D163" t="s">
        <v>13</v>
      </c>
      <c r="E163" t="s">
        <v>14</v>
      </c>
      <c r="F163" s="3">
        <v>45715</v>
      </c>
      <c r="G163" t="s">
        <v>384</v>
      </c>
      <c r="H163">
        <v>10</v>
      </c>
      <c r="I163" s="5">
        <v>42.939344032078921</v>
      </c>
      <c r="J163">
        <v>1000000000</v>
      </c>
      <c r="K163">
        <v>2.875</v>
      </c>
      <c r="L163" t="s">
        <v>351</v>
      </c>
      <c r="M163">
        <v>0.57999999999999996</v>
      </c>
      <c r="N163" t="s">
        <v>352</v>
      </c>
      <c r="O163" t="str">
        <f t="shared" si="2"/>
        <v>H</v>
      </c>
      <c r="P163" s="5">
        <v>2.9008172737362528</v>
      </c>
    </row>
    <row r="164" spans="1:16" x14ac:dyDescent="0.25">
      <c r="A164" t="s">
        <v>25</v>
      </c>
      <c r="B164" t="s">
        <v>594</v>
      </c>
      <c r="C164" t="s">
        <v>385</v>
      </c>
      <c r="D164" t="s">
        <v>13</v>
      </c>
      <c r="E164" t="s">
        <v>18</v>
      </c>
      <c r="F164" s="3">
        <v>44573</v>
      </c>
      <c r="G164" t="s">
        <v>386</v>
      </c>
      <c r="H164">
        <v>10</v>
      </c>
      <c r="I164" s="5">
        <v>30.264243106655641</v>
      </c>
      <c r="J164">
        <v>1000000000</v>
      </c>
      <c r="K164">
        <v>0.25</v>
      </c>
      <c r="L164" t="s">
        <v>351</v>
      </c>
      <c r="M164">
        <v>0.57999999999999996</v>
      </c>
      <c r="N164" t="s">
        <v>352</v>
      </c>
      <c r="O164" t="str">
        <f t="shared" si="2"/>
        <v>H</v>
      </c>
      <c r="P164" s="5">
        <v>0.2928960980381819</v>
      </c>
    </row>
    <row r="165" spans="1:16" x14ac:dyDescent="0.25">
      <c r="A165" t="s">
        <v>25</v>
      </c>
      <c r="B165" t="s">
        <v>594</v>
      </c>
      <c r="C165" t="s">
        <v>387</v>
      </c>
      <c r="D165" t="s">
        <v>13</v>
      </c>
      <c r="E165" t="s">
        <v>18</v>
      </c>
      <c r="F165" s="3">
        <v>44805</v>
      </c>
      <c r="G165" t="s">
        <v>388</v>
      </c>
      <c r="H165">
        <v>10</v>
      </c>
      <c r="I165" s="5">
        <v>31.984816117646218</v>
      </c>
      <c r="J165">
        <v>1000000000</v>
      </c>
      <c r="K165">
        <v>2.25</v>
      </c>
      <c r="L165" t="s">
        <v>351</v>
      </c>
      <c r="M165">
        <v>0.57999999999999996</v>
      </c>
      <c r="N165" t="s">
        <v>352</v>
      </c>
      <c r="O165" t="str">
        <f t="shared" si="2"/>
        <v>H</v>
      </c>
      <c r="P165" s="5">
        <v>2.326519217048733</v>
      </c>
    </row>
    <row r="166" spans="1:16" x14ac:dyDescent="0.25">
      <c r="A166" t="s">
        <v>25</v>
      </c>
      <c r="B166" t="s">
        <v>594</v>
      </c>
      <c r="C166" t="s">
        <v>389</v>
      </c>
      <c r="D166" t="s">
        <v>13</v>
      </c>
      <c r="E166" t="s">
        <v>18</v>
      </c>
      <c r="F166" s="3">
        <v>43900</v>
      </c>
      <c r="G166" t="s">
        <v>390</v>
      </c>
      <c r="H166">
        <v>10</v>
      </c>
      <c r="I166" s="5">
        <v>24.77547872546873</v>
      </c>
      <c r="J166">
        <v>1250000000</v>
      </c>
      <c r="K166">
        <v>0.01</v>
      </c>
      <c r="L166" t="s">
        <v>351</v>
      </c>
      <c r="M166">
        <v>0.57999999999999996</v>
      </c>
      <c r="N166" t="s">
        <v>352</v>
      </c>
      <c r="O166" t="str">
        <f t="shared" si="2"/>
        <v>H</v>
      </c>
      <c r="P166" s="5">
        <v>1.1228952731723477E-2</v>
      </c>
    </row>
    <row r="167" spans="1:16" x14ac:dyDescent="0.25">
      <c r="A167" t="s">
        <v>25</v>
      </c>
      <c r="B167" t="s">
        <v>594</v>
      </c>
      <c r="C167" t="s">
        <v>391</v>
      </c>
      <c r="D167" t="s">
        <v>13</v>
      </c>
      <c r="E167" t="s">
        <v>14</v>
      </c>
      <c r="F167" s="3">
        <v>45090</v>
      </c>
      <c r="G167" t="s">
        <v>392</v>
      </c>
      <c r="H167">
        <v>10</v>
      </c>
      <c r="I167" s="5">
        <v>36.777252105873067</v>
      </c>
      <c r="J167">
        <v>1000000000</v>
      </c>
      <c r="K167">
        <v>3.125</v>
      </c>
      <c r="L167" t="s">
        <v>351</v>
      </c>
      <c r="M167">
        <v>0.57999999999999996</v>
      </c>
      <c r="N167" t="s">
        <v>352</v>
      </c>
      <c r="O167" t="str">
        <f t="shared" si="2"/>
        <v>H</v>
      </c>
      <c r="P167" s="5">
        <v>3.0637555270149708</v>
      </c>
    </row>
    <row r="168" spans="1:16" x14ac:dyDescent="0.25">
      <c r="A168" t="s">
        <v>25</v>
      </c>
      <c r="B168" t="s">
        <v>594</v>
      </c>
      <c r="C168" t="s">
        <v>393</v>
      </c>
      <c r="D168" t="s">
        <v>13</v>
      </c>
      <c r="E168" t="s">
        <v>14</v>
      </c>
      <c r="F168" s="3">
        <v>43206</v>
      </c>
      <c r="G168" t="s">
        <v>394</v>
      </c>
      <c r="H168">
        <v>10</v>
      </c>
      <c r="I168" s="5">
        <v>14.939159827405719</v>
      </c>
      <c r="J168">
        <v>750000000</v>
      </c>
      <c r="K168">
        <v>0.875</v>
      </c>
      <c r="L168" t="s">
        <v>351</v>
      </c>
      <c r="M168">
        <v>0.57999999999999996</v>
      </c>
      <c r="N168" t="s">
        <v>352</v>
      </c>
      <c r="O168" t="str">
        <f t="shared" si="2"/>
        <v>H</v>
      </c>
      <c r="P168" s="5">
        <v>0.90805784587923344</v>
      </c>
    </row>
    <row r="169" spans="1:16" x14ac:dyDescent="0.25">
      <c r="A169" t="s">
        <v>25</v>
      </c>
      <c r="B169" t="s">
        <v>594</v>
      </c>
      <c r="C169" t="s">
        <v>395</v>
      </c>
      <c r="D169" t="s">
        <v>13</v>
      </c>
      <c r="E169" t="s">
        <v>18</v>
      </c>
      <c r="F169" s="3">
        <v>42971</v>
      </c>
      <c r="G169" t="s">
        <v>396</v>
      </c>
      <c r="H169">
        <v>10</v>
      </c>
      <c r="I169" s="5">
        <v>9.6169011276571155</v>
      </c>
      <c r="J169">
        <v>1000000000</v>
      </c>
      <c r="K169">
        <v>0.625</v>
      </c>
      <c r="L169" t="s">
        <v>351</v>
      </c>
      <c r="M169">
        <v>0.57999999999999996</v>
      </c>
      <c r="N169" t="s">
        <v>352</v>
      </c>
      <c r="O169" t="str">
        <f t="shared" si="2"/>
        <v>H</v>
      </c>
      <c r="P169" s="5">
        <v>0.64505475224737086</v>
      </c>
    </row>
    <row r="170" spans="1:16" x14ac:dyDescent="0.25">
      <c r="A170" t="s">
        <v>25</v>
      </c>
      <c r="B170" t="s">
        <v>594</v>
      </c>
      <c r="C170" t="s">
        <v>397</v>
      </c>
      <c r="D170" t="s">
        <v>13</v>
      </c>
      <c r="E170" t="s">
        <v>14</v>
      </c>
      <c r="F170" s="3">
        <v>42612</v>
      </c>
      <c r="G170" t="s">
        <v>398</v>
      </c>
      <c r="H170">
        <v>10</v>
      </c>
      <c r="I170" s="5">
        <v>8.9277889439579496</v>
      </c>
      <c r="J170">
        <v>750000000</v>
      </c>
      <c r="K170">
        <v>0.125</v>
      </c>
      <c r="L170" t="s">
        <v>351</v>
      </c>
      <c r="M170">
        <v>0.57999999999999996</v>
      </c>
      <c r="N170" t="s">
        <v>352</v>
      </c>
      <c r="O170" t="str">
        <f t="shared" si="2"/>
        <v>H</v>
      </c>
      <c r="P170" s="5">
        <v>0.128346638601535</v>
      </c>
    </row>
    <row r="171" spans="1:16" x14ac:dyDescent="0.25">
      <c r="A171" t="s">
        <v>338</v>
      </c>
      <c r="B171" t="s">
        <v>594</v>
      </c>
      <c r="C171" t="s">
        <v>378</v>
      </c>
      <c r="D171" t="s">
        <v>13</v>
      </c>
      <c r="E171" t="s">
        <v>14</v>
      </c>
      <c r="F171" s="3">
        <v>43286</v>
      </c>
      <c r="G171" t="s">
        <v>379</v>
      </c>
      <c r="H171">
        <v>10</v>
      </c>
      <c r="I171" s="5">
        <v>27.048872262301671</v>
      </c>
      <c r="J171">
        <v>500000000</v>
      </c>
      <c r="K171">
        <v>0.75</v>
      </c>
      <c r="L171" t="s">
        <v>351</v>
      </c>
      <c r="M171">
        <v>0.57999999999999996</v>
      </c>
      <c r="N171" t="s">
        <v>352</v>
      </c>
      <c r="O171" t="str">
        <f t="shared" si="2"/>
        <v>H</v>
      </c>
      <c r="P171" s="5">
        <v>0.7870751761736603</v>
      </c>
    </row>
    <row r="172" spans="1:16" x14ac:dyDescent="0.25">
      <c r="A172" t="s">
        <v>338</v>
      </c>
      <c r="B172" t="s">
        <v>594</v>
      </c>
      <c r="C172" t="s">
        <v>380</v>
      </c>
      <c r="D172" t="s">
        <v>13</v>
      </c>
      <c r="E172" t="s">
        <v>14</v>
      </c>
      <c r="F172" s="3">
        <v>43013</v>
      </c>
      <c r="G172" t="s">
        <v>381</v>
      </c>
      <c r="H172">
        <v>10</v>
      </c>
      <c r="I172" s="5">
        <v>22.241556549690781</v>
      </c>
      <c r="J172">
        <v>500000000</v>
      </c>
      <c r="K172">
        <v>0.75</v>
      </c>
      <c r="L172" t="s">
        <v>351</v>
      </c>
      <c r="M172">
        <v>0.57999999999999996</v>
      </c>
      <c r="N172" t="s">
        <v>352</v>
      </c>
      <c r="O172" t="str">
        <f t="shared" si="2"/>
        <v>H</v>
      </c>
      <c r="P172" s="5">
        <v>0.77581525252786465</v>
      </c>
    </row>
    <row r="173" spans="1:16" x14ac:dyDescent="0.25">
      <c r="A173" t="s">
        <v>338</v>
      </c>
      <c r="B173" t="s">
        <v>594</v>
      </c>
      <c r="C173" t="s">
        <v>382</v>
      </c>
      <c r="D173" t="s">
        <v>13</v>
      </c>
      <c r="E173" t="s">
        <v>14</v>
      </c>
      <c r="F173" s="3">
        <v>43782</v>
      </c>
      <c r="G173" t="s">
        <v>153</v>
      </c>
      <c r="H173">
        <v>10</v>
      </c>
      <c r="I173" s="5">
        <v>33.92235061092876</v>
      </c>
      <c r="J173">
        <v>500000000</v>
      </c>
      <c r="K173">
        <v>0.05</v>
      </c>
      <c r="L173" t="s">
        <v>351</v>
      </c>
      <c r="M173">
        <v>0.57999999999999996</v>
      </c>
      <c r="N173" t="s">
        <v>352</v>
      </c>
      <c r="O173" t="str">
        <f t="shared" si="2"/>
        <v>H</v>
      </c>
      <c r="P173" s="5">
        <v>5.5797032713800286E-2</v>
      </c>
    </row>
    <row r="174" spans="1:16" x14ac:dyDescent="0.25">
      <c r="A174" t="s">
        <v>42</v>
      </c>
      <c r="B174" t="s">
        <v>594</v>
      </c>
      <c r="C174" t="s">
        <v>399</v>
      </c>
      <c r="D174" t="s">
        <v>13</v>
      </c>
      <c r="E174" t="s">
        <v>14</v>
      </c>
      <c r="F174" s="3">
        <v>43740</v>
      </c>
      <c r="G174" t="s">
        <v>400</v>
      </c>
      <c r="H174">
        <v>10</v>
      </c>
      <c r="I174" s="5">
        <v>28.593835630910458</v>
      </c>
      <c r="J174">
        <v>500000000</v>
      </c>
      <c r="K174">
        <v>0.01</v>
      </c>
      <c r="L174" t="s">
        <v>351</v>
      </c>
      <c r="M174">
        <v>0.57999999999999996</v>
      </c>
      <c r="N174" t="s">
        <v>352</v>
      </c>
      <c r="O174" t="str">
        <f t="shared" si="2"/>
        <v>H</v>
      </c>
      <c r="P174" s="5">
        <v>1.1119759813188034E-2</v>
      </c>
    </row>
    <row r="175" spans="1:16" x14ac:dyDescent="0.25">
      <c r="A175" t="s">
        <v>42</v>
      </c>
      <c r="B175" t="s">
        <v>594</v>
      </c>
      <c r="C175" t="s">
        <v>401</v>
      </c>
      <c r="D175" t="s">
        <v>13</v>
      </c>
      <c r="E175" t="s">
        <v>14</v>
      </c>
      <c r="F175" s="3">
        <v>43851</v>
      </c>
      <c r="G175" t="s">
        <v>402</v>
      </c>
      <c r="H175">
        <v>10</v>
      </c>
      <c r="I175" s="5">
        <v>30.772448284092579</v>
      </c>
      <c r="J175">
        <v>500000000</v>
      </c>
      <c r="K175">
        <v>0.125</v>
      </c>
      <c r="L175" t="s">
        <v>351</v>
      </c>
      <c r="M175">
        <v>0.57999999999999996</v>
      </c>
      <c r="N175" t="s">
        <v>352</v>
      </c>
      <c r="O175" t="str">
        <f t="shared" si="2"/>
        <v>H</v>
      </c>
      <c r="P175" s="5">
        <v>0.13962970203021585</v>
      </c>
    </row>
    <row r="176" spans="1:16" x14ac:dyDescent="0.25">
      <c r="A176" t="s">
        <v>42</v>
      </c>
      <c r="B176" t="s">
        <v>594</v>
      </c>
      <c r="C176" t="s">
        <v>403</v>
      </c>
      <c r="D176" t="s">
        <v>13</v>
      </c>
      <c r="E176" t="s">
        <v>14</v>
      </c>
      <c r="F176" s="3">
        <v>45065</v>
      </c>
      <c r="G176" t="s">
        <v>404</v>
      </c>
      <c r="H176">
        <v>10</v>
      </c>
      <c r="I176" s="5">
        <v>39.825827082339067</v>
      </c>
      <c r="J176">
        <v>500000000</v>
      </c>
      <c r="K176">
        <v>3.125</v>
      </c>
      <c r="L176" t="s">
        <v>351</v>
      </c>
      <c r="M176">
        <v>0.57999999999999996</v>
      </c>
      <c r="N176" t="s">
        <v>352</v>
      </c>
      <c r="O176" t="str">
        <f t="shared" si="2"/>
        <v>H</v>
      </c>
      <c r="P176" s="5">
        <v>3.0785295957521215</v>
      </c>
    </row>
    <row r="177" spans="1:16" x14ac:dyDescent="0.25">
      <c r="A177" t="s">
        <v>42</v>
      </c>
      <c r="B177" t="s">
        <v>594</v>
      </c>
      <c r="C177" t="s">
        <v>405</v>
      </c>
      <c r="D177" t="s">
        <v>13</v>
      </c>
      <c r="E177" t="s">
        <v>14</v>
      </c>
      <c r="F177" s="3">
        <v>44824</v>
      </c>
      <c r="G177" t="s">
        <v>406</v>
      </c>
      <c r="H177">
        <v>10</v>
      </c>
      <c r="I177" s="5">
        <v>36.451261181724988</v>
      </c>
      <c r="J177">
        <v>500000000</v>
      </c>
      <c r="K177">
        <v>2.5</v>
      </c>
      <c r="L177" t="s">
        <v>351</v>
      </c>
      <c r="M177">
        <v>0.57999999999999996</v>
      </c>
      <c r="N177" t="s">
        <v>352</v>
      </c>
      <c r="O177" t="str">
        <f t="shared" si="2"/>
        <v>H</v>
      </c>
      <c r="P177" s="5">
        <v>2.5567992963688333</v>
      </c>
    </row>
    <row r="178" spans="1:16" x14ac:dyDescent="0.25">
      <c r="A178" t="s">
        <v>206</v>
      </c>
      <c r="B178" t="s">
        <v>594</v>
      </c>
      <c r="C178" t="s">
        <v>407</v>
      </c>
      <c r="D178" t="s">
        <v>27</v>
      </c>
      <c r="E178" t="s">
        <v>28</v>
      </c>
      <c r="F178" s="3">
        <v>43375</v>
      </c>
      <c r="G178" t="s">
        <v>408</v>
      </c>
      <c r="H178">
        <v>10</v>
      </c>
      <c r="I178" s="5">
        <v>14.22506883884563</v>
      </c>
      <c r="J178">
        <v>850000000</v>
      </c>
      <c r="K178">
        <v>0.875</v>
      </c>
      <c r="L178" t="s">
        <v>363</v>
      </c>
      <c r="M178">
        <v>0.57999999999999996</v>
      </c>
      <c r="N178" t="s">
        <v>359</v>
      </c>
      <c r="O178" t="str">
        <f t="shared" si="2"/>
        <v>K</v>
      </c>
      <c r="P178" s="5">
        <v>0.91496091809792712</v>
      </c>
    </row>
    <row r="179" spans="1:16" x14ac:dyDescent="0.25">
      <c r="A179" t="s">
        <v>206</v>
      </c>
      <c r="B179" t="s">
        <v>594</v>
      </c>
      <c r="C179" t="s">
        <v>409</v>
      </c>
      <c r="D179" t="s">
        <v>27</v>
      </c>
      <c r="E179" t="s">
        <v>28</v>
      </c>
      <c r="F179" s="3">
        <v>43776</v>
      </c>
      <c r="G179" t="s">
        <v>410</v>
      </c>
      <c r="H179">
        <v>10</v>
      </c>
      <c r="I179" s="5">
        <v>23.078766724893882</v>
      </c>
      <c r="J179">
        <v>500000000</v>
      </c>
      <c r="K179">
        <v>0.01</v>
      </c>
      <c r="L179" t="s">
        <v>363</v>
      </c>
      <c r="M179">
        <v>0.57999999999999996</v>
      </c>
      <c r="N179" t="s">
        <v>359</v>
      </c>
      <c r="O179" t="str">
        <f t="shared" si="2"/>
        <v>K</v>
      </c>
      <c r="P179" s="5">
        <v>1.1113642551914603E-2</v>
      </c>
    </row>
    <row r="180" spans="1:16" x14ac:dyDescent="0.25">
      <c r="A180" t="s">
        <v>206</v>
      </c>
      <c r="B180" t="s">
        <v>594</v>
      </c>
      <c r="C180" t="s">
        <v>411</v>
      </c>
      <c r="D180" t="s">
        <v>13</v>
      </c>
      <c r="E180" t="s">
        <v>14</v>
      </c>
      <c r="F180" s="3">
        <v>44686</v>
      </c>
      <c r="G180" t="s">
        <v>412</v>
      </c>
      <c r="H180">
        <v>10</v>
      </c>
      <c r="I180" s="5">
        <v>33.459919212610728</v>
      </c>
      <c r="J180">
        <v>500000000</v>
      </c>
      <c r="K180">
        <v>1.625</v>
      </c>
      <c r="L180" t="s">
        <v>351</v>
      </c>
      <c r="M180">
        <v>0.57999999999999996</v>
      </c>
      <c r="N180" t="s">
        <v>352</v>
      </c>
      <c r="O180" t="str">
        <f t="shared" si="2"/>
        <v>H</v>
      </c>
      <c r="P180" s="5">
        <v>1.7479602648294263</v>
      </c>
    </row>
    <row r="181" spans="1:16" x14ac:dyDescent="0.25">
      <c r="A181" t="s">
        <v>206</v>
      </c>
      <c r="B181" t="s">
        <v>594</v>
      </c>
      <c r="C181" t="s">
        <v>413</v>
      </c>
      <c r="D181" t="s">
        <v>13</v>
      </c>
      <c r="E181" t="s">
        <v>14</v>
      </c>
      <c r="F181" s="3">
        <v>45567</v>
      </c>
      <c r="G181" t="s">
        <v>414</v>
      </c>
      <c r="H181">
        <v>10</v>
      </c>
      <c r="I181" s="5">
        <v>38.80328090797417</v>
      </c>
      <c r="J181">
        <v>500000000</v>
      </c>
      <c r="K181">
        <v>2.75</v>
      </c>
      <c r="L181" t="s">
        <v>351</v>
      </c>
      <c r="M181">
        <v>0.57999999999999996</v>
      </c>
      <c r="N181" t="s">
        <v>352</v>
      </c>
      <c r="O181" t="str">
        <f t="shared" si="2"/>
        <v>H</v>
      </c>
      <c r="P181" s="5">
        <v>2.795226769124433</v>
      </c>
    </row>
    <row r="182" spans="1:16" x14ac:dyDescent="0.25">
      <c r="A182" t="s">
        <v>74</v>
      </c>
      <c r="B182" t="s">
        <v>594</v>
      </c>
      <c r="C182" t="s">
        <v>415</v>
      </c>
      <c r="D182" t="s">
        <v>13</v>
      </c>
      <c r="E182" t="s">
        <v>14</v>
      </c>
      <c r="F182" s="3">
        <v>42690</v>
      </c>
      <c r="G182" t="s">
        <v>416</v>
      </c>
      <c r="H182">
        <v>10</v>
      </c>
      <c r="I182" s="5">
        <v>2.7810381659951702</v>
      </c>
      <c r="J182">
        <v>500000000</v>
      </c>
      <c r="K182">
        <v>0.25</v>
      </c>
      <c r="L182" t="s">
        <v>351</v>
      </c>
      <c r="M182">
        <v>0.57999999999999996</v>
      </c>
      <c r="N182" t="s">
        <v>352</v>
      </c>
      <c r="O182" t="str">
        <f t="shared" si="2"/>
        <v>H</v>
      </c>
      <c r="P182" s="5">
        <v>0.25575840038466063</v>
      </c>
    </row>
    <row r="183" spans="1:16" x14ac:dyDescent="0.25">
      <c r="A183" t="s">
        <v>77</v>
      </c>
      <c r="B183" t="s">
        <v>594</v>
      </c>
      <c r="C183" t="s">
        <v>417</v>
      </c>
      <c r="D183" t="s">
        <v>13</v>
      </c>
      <c r="E183" t="s">
        <v>33</v>
      </c>
      <c r="F183" s="3">
        <v>42747</v>
      </c>
      <c r="G183" t="s">
        <v>418</v>
      </c>
      <c r="H183">
        <v>10</v>
      </c>
      <c r="I183" s="5">
        <v>10.618265638471771</v>
      </c>
      <c r="J183">
        <v>1000000000</v>
      </c>
      <c r="K183">
        <v>0.625</v>
      </c>
      <c r="L183" t="s">
        <v>351</v>
      </c>
      <c r="M183">
        <v>0.57999999999999996</v>
      </c>
      <c r="N183" t="s">
        <v>352</v>
      </c>
      <c r="O183" t="str">
        <f t="shared" si="2"/>
        <v>H</v>
      </c>
      <c r="P183" s="5">
        <v>0.63856960408684549</v>
      </c>
    </row>
    <row r="184" spans="1:16" x14ac:dyDescent="0.25">
      <c r="A184" t="s">
        <v>77</v>
      </c>
      <c r="B184" t="s">
        <v>594</v>
      </c>
      <c r="C184" t="s">
        <v>419</v>
      </c>
      <c r="D184" t="s">
        <v>27</v>
      </c>
      <c r="E184" t="s">
        <v>33</v>
      </c>
      <c r="F184" s="3">
        <v>43179</v>
      </c>
      <c r="G184" t="s">
        <v>420</v>
      </c>
      <c r="H184">
        <v>10</v>
      </c>
      <c r="I184" s="5">
        <v>16.226755020875569</v>
      </c>
      <c r="J184">
        <v>1000000000</v>
      </c>
      <c r="K184">
        <v>0.875</v>
      </c>
      <c r="L184" t="s">
        <v>363</v>
      </c>
      <c r="M184">
        <v>0.57999999999999996</v>
      </c>
      <c r="N184" t="s">
        <v>359</v>
      </c>
      <c r="O184" t="str">
        <f t="shared" si="2"/>
        <v>K</v>
      </c>
      <c r="P184" s="5">
        <v>0.90761985768520637</v>
      </c>
    </row>
    <row r="185" spans="1:16" x14ac:dyDescent="0.25">
      <c r="A185" t="s">
        <v>77</v>
      </c>
      <c r="B185" t="s">
        <v>594</v>
      </c>
      <c r="C185" t="s">
        <v>421</v>
      </c>
      <c r="D185" t="s">
        <v>27</v>
      </c>
      <c r="E185" t="s">
        <v>33</v>
      </c>
      <c r="F185" s="3">
        <v>43734</v>
      </c>
      <c r="G185" t="s">
        <v>422</v>
      </c>
      <c r="H185">
        <v>10</v>
      </c>
      <c r="I185" s="5">
        <v>23.29987556546973</v>
      </c>
      <c r="J185">
        <v>1000000000</v>
      </c>
      <c r="K185">
        <v>0.01</v>
      </c>
      <c r="L185" t="s">
        <v>363</v>
      </c>
      <c r="M185">
        <v>0.57999999999999996</v>
      </c>
      <c r="N185" t="s">
        <v>359</v>
      </c>
      <c r="O185" t="str">
        <f t="shared" si="2"/>
        <v>K</v>
      </c>
      <c r="P185" s="5">
        <v>1.108297267493087E-2</v>
      </c>
    </row>
    <row r="186" spans="1:16" x14ac:dyDescent="0.25">
      <c r="A186" t="s">
        <v>77</v>
      </c>
      <c r="B186" t="s">
        <v>594</v>
      </c>
      <c r="C186" t="s">
        <v>423</v>
      </c>
      <c r="D186" t="s">
        <v>27</v>
      </c>
      <c r="E186" t="s">
        <v>28</v>
      </c>
      <c r="F186" s="3">
        <v>43852</v>
      </c>
      <c r="G186" t="s">
        <v>424</v>
      </c>
      <c r="H186">
        <v>10</v>
      </c>
      <c r="I186" s="5">
        <v>26.622425106754211</v>
      </c>
      <c r="J186">
        <v>750000000</v>
      </c>
      <c r="K186">
        <v>0.125</v>
      </c>
      <c r="L186" t="s">
        <v>363</v>
      </c>
      <c r="M186">
        <v>0.57999999999999996</v>
      </c>
      <c r="N186" t="s">
        <v>359</v>
      </c>
      <c r="O186" t="str">
        <f t="shared" si="2"/>
        <v>K</v>
      </c>
      <c r="P186" s="5">
        <v>0.13924396098941191</v>
      </c>
    </row>
    <row r="187" spans="1:16" x14ac:dyDescent="0.25">
      <c r="A187" t="s">
        <v>77</v>
      </c>
      <c r="B187" t="s">
        <v>594</v>
      </c>
      <c r="C187" t="s">
        <v>425</v>
      </c>
      <c r="D187" t="s">
        <v>27</v>
      </c>
      <c r="E187" t="s">
        <v>33</v>
      </c>
      <c r="F187" s="3">
        <v>45328</v>
      </c>
      <c r="G187" t="s">
        <v>426</v>
      </c>
      <c r="H187">
        <v>10</v>
      </c>
      <c r="I187" s="5">
        <v>38.844744594543577</v>
      </c>
      <c r="J187">
        <v>1250000000</v>
      </c>
      <c r="K187">
        <v>2.875</v>
      </c>
      <c r="L187" t="s">
        <v>363</v>
      </c>
      <c r="M187">
        <v>0.57999999999999996</v>
      </c>
      <c r="N187" t="s">
        <v>359</v>
      </c>
      <c r="O187" t="str">
        <f t="shared" si="2"/>
        <v>K</v>
      </c>
      <c r="P187" s="5">
        <v>2.887067944005945</v>
      </c>
    </row>
    <row r="188" spans="1:16" x14ac:dyDescent="0.25">
      <c r="A188" t="s">
        <v>45</v>
      </c>
      <c r="B188" t="s">
        <v>594</v>
      </c>
      <c r="C188" t="s">
        <v>427</v>
      </c>
      <c r="D188" t="s">
        <v>27</v>
      </c>
      <c r="E188" t="s">
        <v>28</v>
      </c>
      <c r="F188" s="3">
        <v>45104</v>
      </c>
      <c r="G188" t="s">
        <v>428</v>
      </c>
      <c r="H188">
        <v>10</v>
      </c>
      <c r="I188" s="5">
        <v>36.485017318247898</v>
      </c>
      <c r="J188">
        <v>750000000</v>
      </c>
      <c r="K188">
        <v>3.25</v>
      </c>
      <c r="L188" t="s">
        <v>363</v>
      </c>
      <c r="M188">
        <v>0.57999999999999996</v>
      </c>
      <c r="N188" t="s">
        <v>359</v>
      </c>
      <c r="O188" t="str">
        <f t="shared" si="2"/>
        <v>K</v>
      </c>
      <c r="P188" s="5">
        <v>3.1662680416388604</v>
      </c>
    </row>
    <row r="189" spans="1:16" x14ac:dyDescent="0.25">
      <c r="A189" t="s">
        <v>45</v>
      </c>
      <c r="B189" t="s">
        <v>594</v>
      </c>
      <c r="C189" t="s">
        <v>429</v>
      </c>
      <c r="D189" t="s">
        <v>13</v>
      </c>
      <c r="E189" t="s">
        <v>14</v>
      </c>
      <c r="F189" s="3">
        <v>45338</v>
      </c>
      <c r="G189" t="s">
        <v>430</v>
      </c>
      <c r="H189">
        <v>10</v>
      </c>
      <c r="I189" s="5">
        <v>37.487498062789449</v>
      </c>
      <c r="J189">
        <v>1000000000</v>
      </c>
      <c r="K189">
        <v>3</v>
      </c>
      <c r="L189" t="s">
        <v>351</v>
      </c>
      <c r="M189">
        <v>0.57999999999999996</v>
      </c>
      <c r="N189" t="s">
        <v>352</v>
      </c>
      <c r="O189" t="str">
        <f t="shared" si="2"/>
        <v>H</v>
      </c>
      <c r="P189" s="5">
        <v>2.9833825591455589</v>
      </c>
    </row>
    <row r="190" spans="1:16" x14ac:dyDescent="0.25">
      <c r="A190" t="s">
        <v>45</v>
      </c>
      <c r="B190" t="s">
        <v>594</v>
      </c>
      <c r="C190" t="s">
        <v>431</v>
      </c>
      <c r="D190" t="s">
        <v>27</v>
      </c>
      <c r="E190" t="s">
        <v>28</v>
      </c>
      <c r="F190" s="3">
        <v>45803</v>
      </c>
      <c r="G190" t="s">
        <v>432</v>
      </c>
      <c r="H190">
        <v>10</v>
      </c>
      <c r="I190" s="5">
        <v>39.310941350802963</v>
      </c>
      <c r="J190">
        <v>500000000</v>
      </c>
      <c r="K190">
        <v>3</v>
      </c>
      <c r="L190" t="s">
        <v>363</v>
      </c>
      <c r="M190">
        <v>0.57999999999999996</v>
      </c>
      <c r="N190" t="s">
        <v>359</v>
      </c>
      <c r="O190" t="str">
        <f t="shared" si="2"/>
        <v>K</v>
      </c>
      <c r="P190" s="5">
        <v>3.0001800108006482</v>
      </c>
    </row>
    <row r="191" spans="1:16" x14ac:dyDescent="0.25">
      <c r="A191" t="s">
        <v>433</v>
      </c>
      <c r="B191" t="s">
        <v>594</v>
      </c>
      <c r="C191" t="s">
        <v>434</v>
      </c>
      <c r="D191" t="s">
        <v>27</v>
      </c>
      <c r="E191" t="s">
        <v>28</v>
      </c>
      <c r="F191" s="3">
        <v>45308</v>
      </c>
      <c r="G191" t="s">
        <v>435</v>
      </c>
      <c r="H191">
        <v>10</v>
      </c>
      <c r="I191" s="5">
        <v>43.876891961033543</v>
      </c>
      <c r="J191">
        <v>500000000</v>
      </c>
      <c r="K191">
        <v>3</v>
      </c>
      <c r="L191" t="s">
        <v>363</v>
      </c>
      <c r="M191">
        <v>0.57999999999999996</v>
      </c>
      <c r="N191" t="s">
        <v>359</v>
      </c>
      <c r="O191" t="str">
        <f t="shared" si="2"/>
        <v>K</v>
      </c>
      <c r="P191" s="5">
        <v>2.9932651534048391</v>
      </c>
    </row>
    <row r="192" spans="1:16" x14ac:dyDescent="0.25">
      <c r="A192" t="s">
        <v>50</v>
      </c>
      <c r="B192" t="s">
        <v>594</v>
      </c>
      <c r="C192" t="s">
        <v>436</v>
      </c>
      <c r="D192" t="s">
        <v>13</v>
      </c>
      <c r="E192" t="s">
        <v>14</v>
      </c>
      <c r="F192" s="3">
        <v>45722</v>
      </c>
      <c r="G192" t="s">
        <v>437</v>
      </c>
      <c r="H192">
        <v>10</v>
      </c>
      <c r="I192" s="5">
        <v>39.247066799824957</v>
      </c>
      <c r="J192">
        <v>500000000</v>
      </c>
      <c r="K192">
        <v>2.75</v>
      </c>
      <c r="L192" t="s">
        <v>351</v>
      </c>
      <c r="M192">
        <v>0.57999999999999996</v>
      </c>
      <c r="N192" t="s">
        <v>352</v>
      </c>
      <c r="O192" t="str">
        <f t="shared" si="2"/>
        <v>H</v>
      </c>
      <c r="P192" s="5">
        <v>2.8067238898131235</v>
      </c>
    </row>
    <row r="193" spans="1:16" x14ac:dyDescent="0.25">
      <c r="A193" t="s">
        <v>50</v>
      </c>
      <c r="B193" t="s">
        <v>594</v>
      </c>
      <c r="C193" t="s">
        <v>438</v>
      </c>
      <c r="D193" t="s">
        <v>13</v>
      </c>
      <c r="E193" t="s">
        <v>14</v>
      </c>
      <c r="F193" s="3">
        <v>45323</v>
      </c>
      <c r="G193" t="s">
        <v>439</v>
      </c>
      <c r="H193">
        <v>10</v>
      </c>
      <c r="I193" s="5">
        <v>38.116094459904367</v>
      </c>
      <c r="J193">
        <v>750000000</v>
      </c>
      <c r="K193">
        <v>3</v>
      </c>
      <c r="L193" t="s">
        <v>351</v>
      </c>
      <c r="M193">
        <v>0.57999999999999996</v>
      </c>
      <c r="N193" t="s">
        <v>352</v>
      </c>
      <c r="O193" t="str">
        <f t="shared" si="2"/>
        <v>H</v>
      </c>
      <c r="P193" s="5">
        <v>2.9844213207059154</v>
      </c>
    </row>
    <row r="194" spans="1:16" x14ac:dyDescent="0.25">
      <c r="A194" t="s">
        <v>50</v>
      </c>
      <c r="B194" t="s">
        <v>594</v>
      </c>
      <c r="C194" t="s">
        <v>440</v>
      </c>
      <c r="D194" t="s">
        <v>13</v>
      </c>
      <c r="E194" t="s">
        <v>18</v>
      </c>
      <c r="F194" s="3">
        <v>44798</v>
      </c>
      <c r="G194" t="s">
        <v>441</v>
      </c>
      <c r="H194">
        <v>10</v>
      </c>
      <c r="I194" s="5">
        <v>31.15530262122482</v>
      </c>
      <c r="J194">
        <v>1200000000</v>
      </c>
      <c r="K194">
        <v>1.875</v>
      </c>
      <c r="L194" t="s">
        <v>351</v>
      </c>
      <c r="M194">
        <v>0.57999999999999996</v>
      </c>
      <c r="N194" t="s">
        <v>352</v>
      </c>
      <c r="O194" t="str">
        <f t="shared" si="2"/>
        <v>H</v>
      </c>
      <c r="P194" s="5">
        <v>1.9938854180513093</v>
      </c>
    </row>
    <row r="195" spans="1:16" x14ac:dyDescent="0.25">
      <c r="A195" t="s">
        <v>50</v>
      </c>
      <c r="B195" t="s">
        <v>594</v>
      </c>
      <c r="C195" t="s">
        <v>442</v>
      </c>
      <c r="D195" t="s">
        <v>13</v>
      </c>
      <c r="E195" t="s">
        <v>14</v>
      </c>
      <c r="F195" s="3">
        <v>42864</v>
      </c>
      <c r="G195" t="s">
        <v>24</v>
      </c>
      <c r="H195">
        <v>10</v>
      </c>
      <c r="I195" s="5">
        <v>10.32496627869884</v>
      </c>
      <c r="J195">
        <v>750000000</v>
      </c>
      <c r="K195">
        <v>0.625</v>
      </c>
      <c r="L195" t="s">
        <v>351</v>
      </c>
      <c r="M195">
        <v>0.57999999999999996</v>
      </c>
      <c r="N195" t="s">
        <v>352</v>
      </c>
      <c r="O195" t="str">
        <f t="shared" ref="O195:O233" si="3">MID(L195,7,1)</f>
        <v>H</v>
      </c>
      <c r="P195" s="5">
        <v>0.64160473042335642</v>
      </c>
    </row>
    <row r="196" spans="1:16" x14ac:dyDescent="0.25">
      <c r="A196" t="s">
        <v>50</v>
      </c>
      <c r="B196" t="s">
        <v>594</v>
      </c>
      <c r="C196" t="s">
        <v>440</v>
      </c>
      <c r="D196" t="s">
        <v>13</v>
      </c>
      <c r="E196" t="s">
        <v>18</v>
      </c>
      <c r="F196" s="3">
        <v>44798</v>
      </c>
      <c r="G196" t="s">
        <v>441</v>
      </c>
      <c r="H196">
        <v>10</v>
      </c>
      <c r="I196" s="5">
        <v>31.15530262122482</v>
      </c>
      <c r="J196">
        <v>1200000000</v>
      </c>
      <c r="K196">
        <v>1.875</v>
      </c>
      <c r="L196" t="s">
        <v>351</v>
      </c>
      <c r="M196">
        <v>0.57999999999999996</v>
      </c>
      <c r="N196" t="s">
        <v>352</v>
      </c>
      <c r="O196" t="str">
        <f t="shared" si="3"/>
        <v>H</v>
      </c>
      <c r="P196" s="5">
        <v>1.9938854180513093</v>
      </c>
    </row>
    <row r="197" spans="1:16" x14ac:dyDescent="0.25">
      <c r="A197" t="s">
        <v>50</v>
      </c>
      <c r="B197" t="s">
        <v>594</v>
      </c>
      <c r="C197" t="s">
        <v>438</v>
      </c>
      <c r="D197" t="s">
        <v>13</v>
      </c>
      <c r="E197" t="s">
        <v>14</v>
      </c>
      <c r="F197" s="3">
        <v>45323</v>
      </c>
      <c r="G197" t="s">
        <v>439</v>
      </c>
      <c r="H197">
        <v>10</v>
      </c>
      <c r="I197" s="5">
        <v>38.116094459904367</v>
      </c>
      <c r="J197">
        <v>750000000</v>
      </c>
      <c r="K197">
        <v>3</v>
      </c>
      <c r="L197" t="s">
        <v>351</v>
      </c>
      <c r="M197">
        <v>0.57999999999999996</v>
      </c>
      <c r="N197" t="s">
        <v>352</v>
      </c>
      <c r="O197" t="str">
        <f t="shared" si="3"/>
        <v>H</v>
      </c>
      <c r="P197" s="5">
        <v>2.9844213207059154</v>
      </c>
    </row>
    <row r="198" spans="1:16" x14ac:dyDescent="0.25">
      <c r="A198" t="s">
        <v>50</v>
      </c>
      <c r="B198" t="s">
        <v>594</v>
      </c>
      <c r="C198" t="s">
        <v>436</v>
      </c>
      <c r="D198" t="s">
        <v>13</v>
      </c>
      <c r="E198" t="s">
        <v>14</v>
      </c>
      <c r="F198" s="3">
        <v>45722</v>
      </c>
      <c r="G198" t="s">
        <v>437</v>
      </c>
      <c r="H198">
        <v>10</v>
      </c>
      <c r="I198" s="5">
        <v>39.247066799824957</v>
      </c>
      <c r="J198">
        <v>500000000</v>
      </c>
      <c r="K198">
        <v>2.75</v>
      </c>
      <c r="L198" t="s">
        <v>351</v>
      </c>
      <c r="M198">
        <v>0.57999999999999996</v>
      </c>
      <c r="N198" t="s">
        <v>352</v>
      </c>
      <c r="O198" t="str">
        <f t="shared" si="3"/>
        <v>H</v>
      </c>
      <c r="P198" s="5">
        <v>2.8067238898131235</v>
      </c>
    </row>
    <row r="199" spans="1:16" x14ac:dyDescent="0.25">
      <c r="A199" t="s">
        <v>53</v>
      </c>
      <c r="B199" t="s">
        <v>594</v>
      </c>
      <c r="C199" t="s">
        <v>443</v>
      </c>
      <c r="D199" t="s">
        <v>13</v>
      </c>
      <c r="E199" t="s">
        <v>18</v>
      </c>
      <c r="F199" s="3">
        <v>43118</v>
      </c>
      <c r="G199" t="s">
        <v>444</v>
      </c>
      <c r="H199">
        <v>10</v>
      </c>
      <c r="I199" s="5">
        <v>19.443051862675699</v>
      </c>
      <c r="J199">
        <v>1000000000</v>
      </c>
      <c r="K199">
        <v>0.75</v>
      </c>
      <c r="L199" t="s">
        <v>351</v>
      </c>
      <c r="M199">
        <v>0.57999999999999996</v>
      </c>
      <c r="N199" t="s">
        <v>352</v>
      </c>
      <c r="O199" t="str">
        <f t="shared" si="3"/>
        <v>H</v>
      </c>
      <c r="P199" s="5">
        <v>0.77912768863979887</v>
      </c>
    </row>
    <row r="200" spans="1:16" x14ac:dyDescent="0.25">
      <c r="A200" t="s">
        <v>53</v>
      </c>
      <c r="B200" t="s">
        <v>594</v>
      </c>
      <c r="C200" t="s">
        <v>443</v>
      </c>
      <c r="D200" t="s">
        <v>13</v>
      </c>
      <c r="E200" t="s">
        <v>18</v>
      </c>
      <c r="F200" s="3">
        <v>43118</v>
      </c>
      <c r="G200" t="s">
        <v>444</v>
      </c>
      <c r="H200">
        <v>10</v>
      </c>
      <c r="I200" s="5">
        <v>19.443051862675699</v>
      </c>
      <c r="J200">
        <v>1000000000</v>
      </c>
      <c r="K200">
        <v>0.75</v>
      </c>
      <c r="L200" t="s">
        <v>351</v>
      </c>
      <c r="M200">
        <v>0.57999999999999996</v>
      </c>
      <c r="N200" t="s">
        <v>352</v>
      </c>
      <c r="O200" t="str">
        <f t="shared" si="3"/>
        <v>H</v>
      </c>
      <c r="P200" s="5">
        <v>0.77912768863979887</v>
      </c>
    </row>
    <row r="201" spans="1:16" x14ac:dyDescent="0.25">
      <c r="A201" t="s">
        <v>53</v>
      </c>
      <c r="B201" t="s">
        <v>594</v>
      </c>
      <c r="C201" t="s">
        <v>445</v>
      </c>
      <c r="D201" t="s">
        <v>27</v>
      </c>
      <c r="E201" t="s">
        <v>28</v>
      </c>
      <c r="F201" s="3">
        <v>42671</v>
      </c>
      <c r="G201" t="s">
        <v>446</v>
      </c>
      <c r="H201">
        <v>10</v>
      </c>
      <c r="I201" s="5">
        <v>10.977196133789221</v>
      </c>
      <c r="J201">
        <v>750000000</v>
      </c>
      <c r="K201">
        <v>0.25</v>
      </c>
      <c r="L201" t="s">
        <v>363</v>
      </c>
      <c r="M201">
        <v>0.57999999999999996</v>
      </c>
      <c r="N201" t="s">
        <v>359</v>
      </c>
      <c r="O201" t="str">
        <f t="shared" si="3"/>
        <v>K</v>
      </c>
      <c r="P201" s="5">
        <v>0.25578980217216701</v>
      </c>
    </row>
    <row r="202" spans="1:16" x14ac:dyDescent="0.25">
      <c r="A202" t="s">
        <v>53</v>
      </c>
      <c r="B202" t="s">
        <v>594</v>
      </c>
      <c r="C202" t="s">
        <v>447</v>
      </c>
      <c r="D202" t="s">
        <v>27</v>
      </c>
      <c r="E202" t="s">
        <v>28</v>
      </c>
      <c r="F202" s="3">
        <v>42753</v>
      </c>
      <c r="G202" t="s">
        <v>70</v>
      </c>
      <c r="H202">
        <v>10</v>
      </c>
      <c r="I202" s="5">
        <v>16.350096370156589</v>
      </c>
      <c r="J202">
        <v>800000000</v>
      </c>
      <c r="K202">
        <v>0.625</v>
      </c>
      <c r="L202" t="s">
        <v>363</v>
      </c>
      <c r="M202">
        <v>0.57999999999999996</v>
      </c>
      <c r="N202" t="s">
        <v>359</v>
      </c>
      <c r="O202" t="str">
        <f t="shared" si="3"/>
        <v>K</v>
      </c>
      <c r="P202" s="5">
        <v>0.6394548775060237</v>
      </c>
    </row>
    <row r="203" spans="1:16" x14ac:dyDescent="0.25">
      <c r="A203" t="s">
        <v>320</v>
      </c>
      <c r="B203" t="s">
        <v>594</v>
      </c>
      <c r="C203" t="s">
        <v>448</v>
      </c>
      <c r="D203" t="s">
        <v>13</v>
      </c>
      <c r="E203" t="s">
        <v>14</v>
      </c>
      <c r="F203" s="3">
        <v>45820</v>
      </c>
      <c r="G203" t="s">
        <v>449</v>
      </c>
      <c r="H203">
        <v>10</v>
      </c>
      <c r="I203" s="5">
        <v>49.462442646407332</v>
      </c>
      <c r="J203">
        <v>500000000</v>
      </c>
      <c r="K203">
        <v>3</v>
      </c>
      <c r="L203" t="s">
        <v>351</v>
      </c>
      <c r="M203">
        <v>0.57999999999999996</v>
      </c>
      <c r="N203" t="s">
        <v>352</v>
      </c>
      <c r="O203" t="str">
        <f t="shared" si="3"/>
        <v>H</v>
      </c>
      <c r="P203" s="5">
        <v>3.0252914364083741</v>
      </c>
    </row>
    <row r="204" spans="1:16" x14ac:dyDescent="0.25">
      <c r="A204" t="s">
        <v>450</v>
      </c>
      <c r="B204" t="s">
        <v>594</v>
      </c>
      <c r="C204" t="s">
        <v>451</v>
      </c>
      <c r="D204" t="s">
        <v>13</v>
      </c>
      <c r="E204" t="s">
        <v>14</v>
      </c>
      <c r="F204" s="3">
        <v>43875</v>
      </c>
      <c r="G204" t="s">
        <v>317</v>
      </c>
      <c r="H204">
        <v>10</v>
      </c>
      <c r="I204" s="5">
        <v>19.016477800737078</v>
      </c>
      <c r="J204">
        <v>500000000</v>
      </c>
      <c r="K204">
        <v>0.05</v>
      </c>
      <c r="L204" t="s">
        <v>351</v>
      </c>
      <c r="M204">
        <v>0.57999999999999996</v>
      </c>
      <c r="N204" t="s">
        <v>352</v>
      </c>
      <c r="O204" t="str">
        <f t="shared" si="3"/>
        <v>H</v>
      </c>
      <c r="P204" s="5">
        <v>5.5917465820449021E-2</v>
      </c>
    </row>
    <row r="205" spans="1:16" x14ac:dyDescent="0.25">
      <c r="A205" t="s">
        <v>11</v>
      </c>
      <c r="B205" t="s">
        <v>594</v>
      </c>
      <c r="C205" t="s">
        <v>452</v>
      </c>
      <c r="D205" t="s">
        <v>13</v>
      </c>
      <c r="E205" t="s">
        <v>18</v>
      </c>
      <c r="F205" s="3">
        <v>43476</v>
      </c>
      <c r="G205" t="s">
        <v>453</v>
      </c>
      <c r="H205">
        <v>10</v>
      </c>
      <c r="I205" s="5">
        <v>30.018850982049489</v>
      </c>
      <c r="J205">
        <v>1000000000</v>
      </c>
      <c r="K205">
        <v>0.875</v>
      </c>
      <c r="L205" t="s">
        <v>351</v>
      </c>
      <c r="M205">
        <v>0.57999999999999996</v>
      </c>
      <c r="N205" t="s">
        <v>352</v>
      </c>
      <c r="O205" t="str">
        <f t="shared" si="3"/>
        <v>H</v>
      </c>
      <c r="P205" s="5">
        <v>0.92467345817305657</v>
      </c>
    </row>
    <row r="206" spans="1:16" x14ac:dyDescent="0.25">
      <c r="A206" t="s">
        <v>11</v>
      </c>
      <c r="B206" t="s">
        <v>594</v>
      </c>
      <c r="C206" t="s">
        <v>454</v>
      </c>
      <c r="D206" t="s">
        <v>13</v>
      </c>
      <c r="E206" t="s">
        <v>18</v>
      </c>
      <c r="F206" s="3">
        <v>44006</v>
      </c>
      <c r="G206" t="s">
        <v>455</v>
      </c>
      <c r="H206">
        <v>10</v>
      </c>
      <c r="I206" s="5">
        <v>31.373257205400218</v>
      </c>
      <c r="J206">
        <v>1000000000</v>
      </c>
      <c r="K206">
        <v>0.01</v>
      </c>
      <c r="L206" t="s">
        <v>351</v>
      </c>
      <c r="M206">
        <v>0.57999999999999996</v>
      </c>
      <c r="N206" t="s">
        <v>352</v>
      </c>
      <c r="O206" t="str">
        <f t="shared" si="3"/>
        <v>H</v>
      </c>
      <c r="P206" s="5">
        <v>1.1369838093505549E-2</v>
      </c>
    </row>
    <row r="207" spans="1:16" x14ac:dyDescent="0.25">
      <c r="A207" t="s">
        <v>11</v>
      </c>
      <c r="B207" t="s">
        <v>594</v>
      </c>
      <c r="C207" t="s">
        <v>456</v>
      </c>
      <c r="D207" t="s">
        <v>13</v>
      </c>
      <c r="E207" t="s">
        <v>14</v>
      </c>
      <c r="F207" s="3">
        <v>44265</v>
      </c>
      <c r="G207" t="s">
        <v>457</v>
      </c>
      <c r="H207">
        <v>10</v>
      </c>
      <c r="I207" s="5">
        <v>30.29180752521296</v>
      </c>
      <c r="J207">
        <v>750000000</v>
      </c>
      <c r="K207">
        <v>0.01</v>
      </c>
      <c r="L207" t="s">
        <v>351</v>
      </c>
      <c r="M207">
        <v>0.57999999999999996</v>
      </c>
      <c r="N207" t="s">
        <v>352</v>
      </c>
      <c r="O207" t="str">
        <f t="shared" si="3"/>
        <v>H</v>
      </c>
      <c r="P207" s="5">
        <v>1.1628515445575641E-2</v>
      </c>
    </row>
    <row r="208" spans="1:16" x14ac:dyDescent="0.25">
      <c r="A208" t="s">
        <v>11</v>
      </c>
      <c r="B208" t="s">
        <v>594</v>
      </c>
      <c r="C208" t="s">
        <v>458</v>
      </c>
      <c r="D208" t="s">
        <v>13</v>
      </c>
      <c r="E208" t="s">
        <v>18</v>
      </c>
      <c r="F208" s="3">
        <v>44578</v>
      </c>
      <c r="G208" t="s">
        <v>459</v>
      </c>
      <c r="H208">
        <v>11</v>
      </c>
      <c r="I208" s="5">
        <v>35.090604958015057</v>
      </c>
      <c r="J208">
        <v>1000000000</v>
      </c>
      <c r="K208">
        <v>0.375</v>
      </c>
      <c r="L208" t="s">
        <v>460</v>
      </c>
      <c r="M208">
        <v>0.61</v>
      </c>
      <c r="N208" t="s">
        <v>461</v>
      </c>
      <c r="O208" t="str">
        <f t="shared" si="3"/>
        <v>H</v>
      </c>
      <c r="P208" s="5">
        <v>0.45123910257567279</v>
      </c>
    </row>
    <row r="209" spans="1:16" x14ac:dyDescent="0.25">
      <c r="A209" t="s">
        <v>106</v>
      </c>
      <c r="B209" t="s">
        <v>594</v>
      </c>
      <c r="C209" t="s">
        <v>462</v>
      </c>
      <c r="D209" t="s">
        <v>13</v>
      </c>
      <c r="E209" t="s">
        <v>14</v>
      </c>
      <c r="F209" s="3">
        <v>44698</v>
      </c>
      <c r="G209" t="s">
        <v>463</v>
      </c>
      <c r="H209">
        <v>12</v>
      </c>
      <c r="I209" s="5">
        <v>43.238862456082629</v>
      </c>
      <c r="J209">
        <v>500000000</v>
      </c>
      <c r="K209">
        <v>2</v>
      </c>
      <c r="L209" t="s">
        <v>464</v>
      </c>
      <c r="M209">
        <v>0.64</v>
      </c>
      <c r="N209" t="s">
        <v>465</v>
      </c>
      <c r="O209" t="str">
        <f t="shared" si="3"/>
        <v>H</v>
      </c>
      <c r="P209" s="5">
        <v>2.1727676170714352</v>
      </c>
    </row>
    <row r="210" spans="1:16" x14ac:dyDescent="0.25">
      <c r="A210" t="s">
        <v>106</v>
      </c>
      <c r="B210" t="s">
        <v>594</v>
      </c>
      <c r="C210" t="s">
        <v>466</v>
      </c>
      <c r="D210" t="s">
        <v>13</v>
      </c>
      <c r="E210" t="s">
        <v>14</v>
      </c>
      <c r="F210" s="3">
        <v>44313</v>
      </c>
      <c r="G210" t="s">
        <v>467</v>
      </c>
      <c r="H210">
        <v>12</v>
      </c>
      <c r="I210" s="5">
        <v>37.320625142652887</v>
      </c>
      <c r="J210">
        <v>500000000</v>
      </c>
      <c r="K210">
        <v>0.2</v>
      </c>
      <c r="L210" t="s">
        <v>464</v>
      </c>
      <c r="M210">
        <v>0.64</v>
      </c>
      <c r="N210" t="s">
        <v>465</v>
      </c>
      <c r="O210" t="str">
        <f t="shared" si="3"/>
        <v>H</v>
      </c>
      <c r="P210" s="5">
        <v>0.24694864085641793</v>
      </c>
    </row>
    <row r="211" spans="1:16" x14ac:dyDescent="0.25">
      <c r="A211" t="s">
        <v>22</v>
      </c>
      <c r="B211" t="s">
        <v>594</v>
      </c>
      <c r="C211" t="s">
        <v>468</v>
      </c>
      <c r="D211" t="s">
        <v>13</v>
      </c>
      <c r="E211" t="s">
        <v>14</v>
      </c>
      <c r="F211" s="3">
        <v>44335</v>
      </c>
      <c r="G211" t="s">
        <v>404</v>
      </c>
      <c r="H211">
        <v>12</v>
      </c>
      <c r="I211" s="5">
        <v>34.436524499572357</v>
      </c>
      <c r="J211">
        <v>750000000</v>
      </c>
      <c r="K211">
        <v>0.25</v>
      </c>
      <c r="L211" t="s">
        <v>464</v>
      </c>
      <c r="M211">
        <v>0.64</v>
      </c>
      <c r="N211" t="s">
        <v>465</v>
      </c>
      <c r="O211" t="str">
        <f t="shared" si="3"/>
        <v>H</v>
      </c>
      <c r="P211" s="5">
        <v>0.3063237474421967</v>
      </c>
    </row>
    <row r="212" spans="1:16" x14ac:dyDescent="0.25">
      <c r="A212" t="s">
        <v>42</v>
      </c>
      <c r="B212" t="s">
        <v>594</v>
      </c>
      <c r="C212" t="s">
        <v>469</v>
      </c>
      <c r="D212" t="s">
        <v>13</v>
      </c>
      <c r="E212" t="s">
        <v>14</v>
      </c>
      <c r="F212" s="3">
        <v>42613</v>
      </c>
      <c r="G212" t="s">
        <v>470</v>
      </c>
      <c r="H212">
        <v>12</v>
      </c>
      <c r="I212" s="5">
        <v>24.265671917039331</v>
      </c>
      <c r="J212">
        <v>500000000</v>
      </c>
      <c r="K212">
        <v>0.25</v>
      </c>
      <c r="L212" t="s">
        <v>464</v>
      </c>
      <c r="M212">
        <v>0.64</v>
      </c>
      <c r="N212" t="s">
        <v>465</v>
      </c>
      <c r="O212" t="str">
        <f t="shared" si="3"/>
        <v>H</v>
      </c>
      <c r="P212" s="5">
        <v>0.26706120508698183</v>
      </c>
    </row>
    <row r="213" spans="1:16" x14ac:dyDescent="0.25">
      <c r="A213" t="s">
        <v>206</v>
      </c>
      <c r="B213" t="s">
        <v>594</v>
      </c>
      <c r="C213" t="s">
        <v>471</v>
      </c>
      <c r="D213" t="s">
        <v>13</v>
      </c>
      <c r="E213" t="s">
        <v>14</v>
      </c>
      <c r="F213" s="3">
        <v>42082</v>
      </c>
      <c r="G213" t="s">
        <v>472</v>
      </c>
      <c r="H213">
        <v>12</v>
      </c>
      <c r="I213" s="5">
        <v>8.3560366538036988</v>
      </c>
      <c r="J213">
        <v>750000000</v>
      </c>
      <c r="K213">
        <v>0.5</v>
      </c>
      <c r="L213" t="s">
        <v>464</v>
      </c>
      <c r="M213">
        <v>0.64</v>
      </c>
      <c r="N213" t="s">
        <v>465</v>
      </c>
      <c r="O213" t="str">
        <f t="shared" si="3"/>
        <v>H</v>
      </c>
      <c r="P213" s="5">
        <v>0.51329959244012369</v>
      </c>
    </row>
    <row r="214" spans="1:16" x14ac:dyDescent="0.25">
      <c r="A214" t="s">
        <v>206</v>
      </c>
      <c r="B214" t="s">
        <v>594</v>
      </c>
      <c r="C214" t="s">
        <v>473</v>
      </c>
      <c r="D214" t="s">
        <v>13</v>
      </c>
      <c r="E214" t="s">
        <v>14</v>
      </c>
      <c r="F214" s="3">
        <v>44957</v>
      </c>
      <c r="G214" t="s">
        <v>474</v>
      </c>
      <c r="H214">
        <v>12</v>
      </c>
      <c r="I214" s="5">
        <v>40.657610432113941</v>
      </c>
      <c r="J214">
        <v>750000000</v>
      </c>
      <c r="K214">
        <v>3</v>
      </c>
      <c r="L214" t="s">
        <v>464</v>
      </c>
      <c r="M214">
        <v>0.64</v>
      </c>
      <c r="N214" t="s">
        <v>465</v>
      </c>
      <c r="O214" t="str">
        <f t="shared" si="3"/>
        <v>H</v>
      </c>
      <c r="P214" s="5">
        <v>2.9973772948669914</v>
      </c>
    </row>
    <row r="215" spans="1:16" x14ac:dyDescent="0.25">
      <c r="A215" t="s">
        <v>206</v>
      </c>
      <c r="B215" t="s">
        <v>594</v>
      </c>
      <c r="C215" t="s">
        <v>475</v>
      </c>
      <c r="D215" t="s">
        <v>13</v>
      </c>
      <c r="E215" t="s">
        <v>14</v>
      </c>
      <c r="F215" s="3">
        <v>45372</v>
      </c>
      <c r="G215" t="s">
        <v>476</v>
      </c>
      <c r="H215">
        <v>12</v>
      </c>
      <c r="I215" s="5">
        <v>45.078275549894059</v>
      </c>
      <c r="J215">
        <v>500000000</v>
      </c>
      <c r="K215">
        <v>2.875</v>
      </c>
      <c r="L215" t="s">
        <v>464</v>
      </c>
      <c r="M215">
        <v>0.64</v>
      </c>
      <c r="N215" t="s">
        <v>465</v>
      </c>
      <c r="O215" t="str">
        <f t="shared" si="3"/>
        <v>H</v>
      </c>
      <c r="P215" s="5">
        <v>2.9374201787994889</v>
      </c>
    </row>
    <row r="216" spans="1:16" x14ac:dyDescent="0.25">
      <c r="A216" t="s">
        <v>11</v>
      </c>
      <c r="B216" t="s">
        <v>594</v>
      </c>
      <c r="C216" t="s">
        <v>477</v>
      </c>
      <c r="D216" t="s">
        <v>13</v>
      </c>
      <c r="E216" t="s">
        <v>18</v>
      </c>
      <c r="F216" s="3">
        <v>43845</v>
      </c>
      <c r="G216" t="s">
        <v>478</v>
      </c>
      <c r="H216">
        <v>12</v>
      </c>
      <c r="I216" s="5">
        <v>32.262615946449642</v>
      </c>
      <c r="J216">
        <v>1500000000</v>
      </c>
      <c r="K216">
        <v>0.25</v>
      </c>
      <c r="L216" t="s">
        <v>464</v>
      </c>
      <c r="M216">
        <v>0.64</v>
      </c>
      <c r="N216" t="s">
        <v>465</v>
      </c>
      <c r="O216" t="str">
        <f t="shared" si="3"/>
        <v>H</v>
      </c>
      <c r="P216" s="5">
        <v>0.29428036679104919</v>
      </c>
    </row>
    <row r="217" spans="1:16" x14ac:dyDescent="0.25">
      <c r="A217" t="s">
        <v>25</v>
      </c>
      <c r="B217" t="s">
        <v>594</v>
      </c>
      <c r="C217" t="s">
        <v>479</v>
      </c>
      <c r="D217" t="s">
        <v>13</v>
      </c>
      <c r="E217" t="s">
        <v>18</v>
      </c>
      <c r="F217" s="3">
        <v>43474</v>
      </c>
      <c r="G217" t="s">
        <v>480</v>
      </c>
      <c r="H217">
        <v>15</v>
      </c>
      <c r="I217" s="5">
        <v>36.707264648142093</v>
      </c>
      <c r="J217">
        <v>1000000000</v>
      </c>
      <c r="K217">
        <v>1.25</v>
      </c>
      <c r="L217" t="s">
        <v>481</v>
      </c>
      <c r="M217">
        <v>0.69</v>
      </c>
      <c r="N217" t="s">
        <v>482</v>
      </c>
      <c r="O217" t="str">
        <f t="shared" si="3"/>
        <v>H</v>
      </c>
      <c r="P217" s="5">
        <v>1.4272502026695288</v>
      </c>
    </row>
    <row r="218" spans="1:16" x14ac:dyDescent="0.25">
      <c r="A218" t="s">
        <v>35</v>
      </c>
      <c r="B218" t="s">
        <v>594</v>
      </c>
      <c r="C218" t="s">
        <v>483</v>
      </c>
      <c r="D218" t="s">
        <v>27</v>
      </c>
      <c r="E218" t="s">
        <v>28</v>
      </c>
      <c r="F218" s="3">
        <v>41423</v>
      </c>
      <c r="G218" t="s">
        <v>484</v>
      </c>
      <c r="H218">
        <v>15</v>
      </c>
      <c r="I218" s="5">
        <v>36.895461266650301</v>
      </c>
      <c r="J218">
        <v>645614000</v>
      </c>
      <c r="K218">
        <v>2.375</v>
      </c>
      <c r="L218" t="s">
        <v>485</v>
      </c>
      <c r="M218">
        <v>0.69</v>
      </c>
      <c r="N218" t="s">
        <v>486</v>
      </c>
      <c r="O218" t="str">
        <f t="shared" si="3"/>
        <v>K</v>
      </c>
      <c r="P218" s="5">
        <v>2.3818239255466911</v>
      </c>
    </row>
    <row r="219" spans="1:16" x14ac:dyDescent="0.25">
      <c r="A219" t="s">
        <v>42</v>
      </c>
      <c r="B219" t="s">
        <v>594</v>
      </c>
      <c r="C219" t="s">
        <v>487</v>
      </c>
      <c r="D219" t="s">
        <v>13</v>
      </c>
      <c r="E219" t="s">
        <v>14</v>
      </c>
      <c r="F219" s="3">
        <v>44742</v>
      </c>
      <c r="G219" t="s">
        <v>488</v>
      </c>
      <c r="H219">
        <v>15</v>
      </c>
      <c r="I219" s="5">
        <v>48.410398713747753</v>
      </c>
      <c r="J219">
        <v>1000000000</v>
      </c>
      <c r="K219">
        <v>2.625</v>
      </c>
      <c r="L219" t="s">
        <v>481</v>
      </c>
      <c r="M219">
        <v>0.69</v>
      </c>
      <c r="N219" t="s">
        <v>482</v>
      </c>
      <c r="O219" t="str">
        <f t="shared" si="3"/>
        <v>H</v>
      </c>
      <c r="P219" s="5">
        <v>2.7945004231672068</v>
      </c>
    </row>
    <row r="220" spans="1:16" x14ac:dyDescent="0.25">
      <c r="A220" t="s">
        <v>206</v>
      </c>
      <c r="B220" t="s">
        <v>594</v>
      </c>
      <c r="C220" t="s">
        <v>489</v>
      </c>
      <c r="D220" t="s">
        <v>13</v>
      </c>
      <c r="E220" t="s">
        <v>14</v>
      </c>
      <c r="F220" s="3">
        <v>45714</v>
      </c>
      <c r="G220" t="s">
        <v>490</v>
      </c>
      <c r="H220">
        <v>15</v>
      </c>
      <c r="I220" s="5">
        <v>48.706538101418893</v>
      </c>
      <c r="J220">
        <v>500000000</v>
      </c>
      <c r="K220">
        <v>3</v>
      </c>
      <c r="L220" t="s">
        <v>481</v>
      </c>
      <c r="M220">
        <v>0.69</v>
      </c>
      <c r="N220" t="s">
        <v>482</v>
      </c>
      <c r="O220" t="str">
        <f t="shared" si="3"/>
        <v>H</v>
      </c>
      <c r="P220" s="5">
        <v>3.1046419571662898</v>
      </c>
    </row>
    <row r="221" spans="1:16" x14ac:dyDescent="0.25">
      <c r="A221" t="s">
        <v>74</v>
      </c>
      <c r="B221" t="s">
        <v>594</v>
      </c>
      <c r="C221" t="s">
        <v>491</v>
      </c>
      <c r="D221" t="s">
        <v>13</v>
      </c>
      <c r="E221" t="s">
        <v>14</v>
      </c>
      <c r="F221" s="3">
        <v>43382</v>
      </c>
      <c r="G221" t="s">
        <v>492</v>
      </c>
      <c r="H221">
        <v>15</v>
      </c>
      <c r="I221" s="5">
        <v>40.496717064584693</v>
      </c>
      <c r="J221">
        <v>500000000</v>
      </c>
      <c r="K221">
        <v>1.25</v>
      </c>
      <c r="L221" t="s">
        <v>481</v>
      </c>
      <c r="M221">
        <v>0.69</v>
      </c>
      <c r="N221" t="s">
        <v>482</v>
      </c>
      <c r="O221" t="str">
        <f t="shared" si="3"/>
        <v>H</v>
      </c>
      <c r="P221" s="5">
        <v>1.427608812343677</v>
      </c>
    </row>
    <row r="222" spans="1:16" x14ac:dyDescent="0.25">
      <c r="A222" t="s">
        <v>77</v>
      </c>
      <c r="B222" t="s">
        <v>594</v>
      </c>
      <c r="C222" t="s">
        <v>493</v>
      </c>
      <c r="D222" t="s">
        <v>13</v>
      </c>
      <c r="E222" t="s">
        <v>33</v>
      </c>
      <c r="F222" s="3">
        <v>44580</v>
      </c>
      <c r="G222" t="s">
        <v>494</v>
      </c>
      <c r="H222">
        <v>15</v>
      </c>
      <c r="I222" s="5">
        <v>47.169283048745463</v>
      </c>
      <c r="J222">
        <v>1000000000</v>
      </c>
      <c r="K222">
        <v>0.5</v>
      </c>
      <c r="L222" t="s">
        <v>481</v>
      </c>
      <c r="M222">
        <v>0.69</v>
      </c>
      <c r="N222" t="s">
        <v>482</v>
      </c>
      <c r="O222" t="str">
        <f t="shared" si="3"/>
        <v>H</v>
      </c>
      <c r="P222" s="5">
        <v>0.68026748117359759</v>
      </c>
    </row>
    <row r="223" spans="1:16" x14ac:dyDescent="0.25">
      <c r="A223" t="s">
        <v>50</v>
      </c>
      <c r="B223" t="s">
        <v>594</v>
      </c>
      <c r="C223" t="s">
        <v>495</v>
      </c>
      <c r="D223" t="s">
        <v>13</v>
      </c>
      <c r="E223" t="s">
        <v>18</v>
      </c>
      <c r="F223" s="3">
        <v>41459</v>
      </c>
      <c r="G223" t="s">
        <v>496</v>
      </c>
      <c r="H223">
        <v>15</v>
      </c>
      <c r="I223" s="5">
        <v>18.833616665503779</v>
      </c>
      <c r="J223">
        <v>1000000000</v>
      </c>
      <c r="K223">
        <v>2.5</v>
      </c>
      <c r="L223" t="s">
        <v>481</v>
      </c>
      <c r="M223">
        <v>0.69</v>
      </c>
      <c r="N223" t="s">
        <v>482</v>
      </c>
      <c r="O223" t="str">
        <f t="shared" si="3"/>
        <v>H</v>
      </c>
      <c r="P223" s="5">
        <v>2.4870919925586206</v>
      </c>
    </row>
    <row r="224" spans="1:16" x14ac:dyDescent="0.25">
      <c r="A224" t="s">
        <v>50</v>
      </c>
      <c r="B224" t="s">
        <v>594</v>
      </c>
      <c r="C224" t="s">
        <v>497</v>
      </c>
      <c r="D224" t="s">
        <v>13</v>
      </c>
      <c r="E224" t="s">
        <v>14</v>
      </c>
      <c r="F224" s="3">
        <v>44082</v>
      </c>
      <c r="G224" t="s">
        <v>498</v>
      </c>
      <c r="H224">
        <v>15</v>
      </c>
      <c r="I224" s="5">
        <v>35.24576202340802</v>
      </c>
      <c r="J224">
        <v>500000000</v>
      </c>
      <c r="K224">
        <v>0.125</v>
      </c>
      <c r="L224" t="s">
        <v>481</v>
      </c>
      <c r="M224">
        <v>0.69</v>
      </c>
      <c r="N224" t="s">
        <v>482</v>
      </c>
      <c r="O224" t="str">
        <f t="shared" si="3"/>
        <v>H</v>
      </c>
      <c r="P224" s="5">
        <v>0.16742005692281936</v>
      </c>
    </row>
    <row r="225" spans="1:16" x14ac:dyDescent="0.25">
      <c r="A225" t="s">
        <v>50</v>
      </c>
      <c r="B225" t="s">
        <v>594</v>
      </c>
      <c r="C225" t="s">
        <v>499</v>
      </c>
      <c r="D225" t="s">
        <v>13</v>
      </c>
      <c r="E225" t="s">
        <v>14</v>
      </c>
      <c r="F225" s="3">
        <v>44320</v>
      </c>
      <c r="G225" t="s">
        <v>500</v>
      </c>
      <c r="H225">
        <v>15</v>
      </c>
      <c r="I225" s="5">
        <v>40.740089065268712</v>
      </c>
      <c r="J225">
        <v>500000000</v>
      </c>
      <c r="K225">
        <v>0.25</v>
      </c>
      <c r="L225" t="s">
        <v>481</v>
      </c>
      <c r="M225">
        <v>0.69</v>
      </c>
      <c r="N225" t="s">
        <v>482</v>
      </c>
      <c r="O225" t="str">
        <f t="shared" si="3"/>
        <v>H</v>
      </c>
      <c r="P225" s="5">
        <v>0.34065282707781191</v>
      </c>
    </row>
    <row r="226" spans="1:16" x14ac:dyDescent="0.25">
      <c r="A226" t="s">
        <v>11</v>
      </c>
      <c r="B226" t="s">
        <v>594</v>
      </c>
      <c r="C226" t="s">
        <v>501</v>
      </c>
      <c r="D226" t="s">
        <v>13</v>
      </c>
      <c r="E226" t="s">
        <v>18</v>
      </c>
      <c r="F226" s="3">
        <v>43607</v>
      </c>
      <c r="G226" t="s">
        <v>502</v>
      </c>
      <c r="H226">
        <v>15</v>
      </c>
      <c r="I226" s="5">
        <v>46.253694169550187</v>
      </c>
      <c r="J226">
        <v>1000000000</v>
      </c>
      <c r="K226">
        <v>0.85</v>
      </c>
      <c r="L226" t="s">
        <v>481</v>
      </c>
      <c r="M226">
        <v>0.69</v>
      </c>
      <c r="N226" t="s">
        <v>482</v>
      </c>
      <c r="O226" t="str">
        <f t="shared" si="3"/>
        <v>H</v>
      </c>
      <c r="P226" s="5">
        <v>1.028875076409105</v>
      </c>
    </row>
    <row r="227" spans="1:16" x14ac:dyDescent="0.25">
      <c r="A227" t="s">
        <v>11</v>
      </c>
      <c r="B227" t="s">
        <v>594</v>
      </c>
      <c r="C227" t="s">
        <v>503</v>
      </c>
      <c r="D227" t="s">
        <v>13</v>
      </c>
      <c r="E227" t="s">
        <v>14</v>
      </c>
      <c r="F227" s="3">
        <v>44217</v>
      </c>
      <c r="G227" t="s">
        <v>504</v>
      </c>
      <c r="H227">
        <v>15</v>
      </c>
      <c r="I227" s="5">
        <v>46.608141276197102</v>
      </c>
      <c r="J227">
        <v>500000000</v>
      </c>
      <c r="K227">
        <v>0.01</v>
      </c>
      <c r="L227" t="s">
        <v>481</v>
      </c>
      <c r="M227">
        <v>0.69</v>
      </c>
      <c r="N227" t="s">
        <v>482</v>
      </c>
      <c r="O227" t="str">
        <f t="shared" si="3"/>
        <v>H</v>
      </c>
      <c r="P227" s="5">
        <v>1.4052937415243223E-2</v>
      </c>
    </row>
    <row r="228" spans="1:16" x14ac:dyDescent="0.25">
      <c r="A228" t="s">
        <v>35</v>
      </c>
      <c r="B228" t="s">
        <v>594</v>
      </c>
      <c r="C228" t="s">
        <v>505</v>
      </c>
      <c r="D228" t="s">
        <v>27</v>
      </c>
      <c r="E228" t="s">
        <v>28</v>
      </c>
      <c r="F228" s="3">
        <v>42480</v>
      </c>
      <c r="G228" t="s">
        <v>506</v>
      </c>
      <c r="H228">
        <v>19</v>
      </c>
      <c r="I228" s="5">
        <v>54.931177067313797</v>
      </c>
      <c r="J228">
        <v>795676000</v>
      </c>
      <c r="K228">
        <v>1.25</v>
      </c>
      <c r="L228" t="s">
        <v>509</v>
      </c>
      <c r="M228">
        <v>0.71399999999999997</v>
      </c>
      <c r="N228" t="s">
        <v>508</v>
      </c>
      <c r="O228" t="str">
        <f t="shared" si="3"/>
        <v>K</v>
      </c>
      <c r="P228" s="5">
        <v>1.4897445981860868</v>
      </c>
    </row>
    <row r="229" spans="1:16" x14ac:dyDescent="0.25">
      <c r="A229" t="s">
        <v>50</v>
      </c>
      <c r="B229" t="s">
        <v>594</v>
      </c>
      <c r="C229" t="s">
        <v>510</v>
      </c>
      <c r="D229" t="s">
        <v>13</v>
      </c>
      <c r="E229" t="s">
        <v>14</v>
      </c>
      <c r="F229" s="3">
        <v>44218</v>
      </c>
      <c r="G229" t="s">
        <v>511</v>
      </c>
      <c r="H229">
        <v>19</v>
      </c>
      <c r="I229" s="5">
        <v>45.055193122943649</v>
      </c>
      <c r="J229">
        <v>750000000</v>
      </c>
      <c r="K229">
        <v>0.01</v>
      </c>
      <c r="L229" t="s">
        <v>507</v>
      </c>
      <c r="M229">
        <v>0.71399999999999997</v>
      </c>
      <c r="N229" t="s">
        <v>512</v>
      </c>
      <c r="O229" t="str">
        <f t="shared" si="3"/>
        <v>H</v>
      </c>
      <c r="P229" s="5">
        <v>1.6251178210420256E-2</v>
      </c>
    </row>
    <row r="230" spans="1:16" x14ac:dyDescent="0.25">
      <c r="A230" t="s">
        <v>206</v>
      </c>
      <c r="B230" t="s">
        <v>594</v>
      </c>
      <c r="C230" t="s">
        <v>513</v>
      </c>
      <c r="D230" t="s">
        <v>27</v>
      </c>
      <c r="E230" t="s">
        <v>28</v>
      </c>
      <c r="F230" s="3">
        <v>45820</v>
      </c>
      <c r="G230" t="s">
        <v>514</v>
      </c>
      <c r="H230">
        <v>20</v>
      </c>
      <c r="I230" s="5">
        <v>58.87895053895403</v>
      </c>
      <c r="J230">
        <v>500000000</v>
      </c>
      <c r="K230">
        <v>3.25</v>
      </c>
      <c r="L230" t="s">
        <v>516</v>
      </c>
      <c r="M230">
        <v>0.72</v>
      </c>
      <c r="N230" t="s">
        <v>517</v>
      </c>
      <c r="O230" t="str">
        <f t="shared" si="3"/>
        <v>K</v>
      </c>
      <c r="P230" s="5">
        <v>3.3167495854063014</v>
      </c>
    </row>
    <row r="231" spans="1:16" x14ac:dyDescent="0.25">
      <c r="A231" t="s">
        <v>74</v>
      </c>
      <c r="B231" t="s">
        <v>594</v>
      </c>
      <c r="C231" t="s">
        <v>518</v>
      </c>
      <c r="D231" t="s">
        <v>13</v>
      </c>
      <c r="E231" t="s">
        <v>14</v>
      </c>
      <c r="F231" s="3">
        <v>43608</v>
      </c>
      <c r="G231" t="s">
        <v>519</v>
      </c>
      <c r="H231">
        <v>20</v>
      </c>
      <c r="I231" s="5">
        <v>46.471577087709854</v>
      </c>
      <c r="J231">
        <v>750000000</v>
      </c>
      <c r="K231">
        <v>1</v>
      </c>
      <c r="L231" t="s">
        <v>515</v>
      </c>
      <c r="M231">
        <v>0.72</v>
      </c>
      <c r="N231" t="s">
        <v>520</v>
      </c>
      <c r="O231" t="str">
        <f t="shared" si="3"/>
        <v>H</v>
      </c>
      <c r="P231" s="5">
        <v>1.350046914130266</v>
      </c>
    </row>
    <row r="232" spans="1:16" x14ac:dyDescent="0.25">
      <c r="A232" t="s">
        <v>50</v>
      </c>
      <c r="B232" t="s">
        <v>594</v>
      </c>
      <c r="C232" t="s">
        <v>521</v>
      </c>
      <c r="D232" t="s">
        <v>13</v>
      </c>
      <c r="E232" t="s">
        <v>14</v>
      </c>
      <c r="F232" s="3">
        <v>43573</v>
      </c>
      <c r="G232" t="s">
        <v>522</v>
      </c>
      <c r="H232">
        <v>20</v>
      </c>
      <c r="I232" s="5">
        <v>47.63857497974729</v>
      </c>
      <c r="J232">
        <v>500000000</v>
      </c>
      <c r="K232">
        <v>1</v>
      </c>
      <c r="L232" t="s">
        <v>515</v>
      </c>
      <c r="M232">
        <v>0.72</v>
      </c>
      <c r="N232" t="s">
        <v>520</v>
      </c>
      <c r="O232" t="str">
        <f t="shared" si="3"/>
        <v>H</v>
      </c>
      <c r="P232" s="5">
        <v>1.3509132173349183</v>
      </c>
    </row>
    <row r="233" spans="1:16" x14ac:dyDescent="0.25">
      <c r="A233" t="s">
        <v>50</v>
      </c>
      <c r="B233" t="s">
        <v>594</v>
      </c>
      <c r="C233" t="s">
        <v>523</v>
      </c>
      <c r="D233" t="s">
        <v>13</v>
      </c>
      <c r="E233" t="s">
        <v>14</v>
      </c>
      <c r="F233" s="3">
        <v>44138</v>
      </c>
      <c r="G233" t="s">
        <v>524</v>
      </c>
      <c r="H233">
        <v>20</v>
      </c>
      <c r="I233" s="5">
        <v>44.789600331333247</v>
      </c>
      <c r="J233">
        <v>500000000</v>
      </c>
      <c r="K233">
        <v>0.01</v>
      </c>
      <c r="L233" t="s">
        <v>515</v>
      </c>
      <c r="M233">
        <v>0.72</v>
      </c>
      <c r="N233" t="s">
        <v>520</v>
      </c>
      <c r="O233" t="str">
        <f t="shared" si="3"/>
        <v>H</v>
      </c>
      <c r="P233" s="5">
        <v>1.6925055852684313E-2</v>
      </c>
    </row>
    <row r="234" spans="1:16" s="7" customFormat="1" x14ac:dyDescent="0.25">
      <c r="A234" s="7" t="s">
        <v>526</v>
      </c>
      <c r="B234" s="7" t="s">
        <v>595</v>
      </c>
      <c r="C234" s="7" t="s">
        <v>527</v>
      </c>
      <c r="D234" s="7" t="s">
        <v>13</v>
      </c>
      <c r="E234" s="7" t="s">
        <v>14</v>
      </c>
      <c r="F234" s="8">
        <v>42024</v>
      </c>
      <c r="G234" s="7" t="s">
        <v>305</v>
      </c>
      <c r="H234" s="7">
        <v>15</v>
      </c>
      <c r="I234" s="9">
        <v>26.635636665407841</v>
      </c>
      <c r="J234" s="7">
        <v>750000000</v>
      </c>
      <c r="K234" s="7">
        <v>0.875</v>
      </c>
      <c r="L234" s="7" t="s">
        <v>481</v>
      </c>
      <c r="M234" s="7">
        <v>0.69</v>
      </c>
      <c r="N234" s="7" t="s">
        <v>482</v>
      </c>
      <c r="O234" s="7" t="s">
        <v>530</v>
      </c>
      <c r="P234" s="9">
        <v>0.94131062712803426</v>
      </c>
    </row>
    <row r="235" spans="1:16" x14ac:dyDescent="0.25">
      <c r="A235" t="s">
        <v>526</v>
      </c>
      <c r="B235" t="s">
        <v>595</v>
      </c>
      <c r="C235" t="s">
        <v>528</v>
      </c>
      <c r="D235" t="s">
        <v>13</v>
      </c>
      <c r="E235" t="s">
        <v>14</v>
      </c>
      <c r="F235" s="3">
        <v>42095</v>
      </c>
      <c r="G235" t="s">
        <v>529</v>
      </c>
      <c r="H235">
        <v>12</v>
      </c>
      <c r="I235" s="5">
        <v>11.563037432687199</v>
      </c>
      <c r="J235">
        <v>750000000</v>
      </c>
      <c r="K235">
        <v>0.5</v>
      </c>
      <c r="L235" t="s">
        <v>464</v>
      </c>
      <c r="M235">
        <v>0.64</v>
      </c>
      <c r="N235" t="s">
        <v>465</v>
      </c>
      <c r="O235" t="s">
        <v>530</v>
      </c>
      <c r="P235" s="5">
        <v>0.51380860629415537</v>
      </c>
    </row>
    <row r="236" spans="1:16" x14ac:dyDescent="0.25">
      <c r="A236" t="s">
        <v>526</v>
      </c>
      <c r="B236" t="s">
        <v>595</v>
      </c>
      <c r="C236" t="s">
        <v>531</v>
      </c>
      <c r="D236" t="s">
        <v>13</v>
      </c>
      <c r="E236" t="s">
        <v>18</v>
      </c>
      <c r="F236" s="3">
        <v>44006</v>
      </c>
      <c r="G236" t="s">
        <v>532</v>
      </c>
      <c r="H236">
        <v>8</v>
      </c>
      <c r="I236" s="5">
        <v>20.43449056083082</v>
      </c>
      <c r="J236">
        <v>1000000000</v>
      </c>
      <c r="K236">
        <v>0.01</v>
      </c>
      <c r="L236" t="s">
        <v>291</v>
      </c>
      <c r="M236">
        <v>0.52</v>
      </c>
      <c r="N236" t="s">
        <v>292</v>
      </c>
      <c r="O236" t="s">
        <v>530</v>
      </c>
      <c r="P236" s="5">
        <v>1.0686786323050864E-2</v>
      </c>
    </row>
    <row r="237" spans="1:16" x14ac:dyDescent="0.25">
      <c r="A237" t="s">
        <v>526</v>
      </c>
      <c r="B237" t="s">
        <v>595</v>
      </c>
      <c r="C237" t="s">
        <v>533</v>
      </c>
      <c r="D237" t="s">
        <v>13</v>
      </c>
      <c r="E237" t="s">
        <v>18</v>
      </c>
      <c r="F237" s="3">
        <v>44133</v>
      </c>
      <c r="G237" t="s">
        <v>534</v>
      </c>
      <c r="H237">
        <v>8</v>
      </c>
      <c r="I237" s="5">
        <v>22.191589152969559</v>
      </c>
      <c r="J237">
        <v>1000000000</v>
      </c>
      <c r="K237">
        <v>0.01</v>
      </c>
      <c r="L237" t="s">
        <v>291</v>
      </c>
      <c r="M237">
        <v>0.52</v>
      </c>
      <c r="N237" t="s">
        <v>292</v>
      </c>
      <c r="O237" t="s">
        <v>530</v>
      </c>
      <c r="P237" s="5">
        <v>1.079033833105837E-2</v>
      </c>
    </row>
    <row r="238" spans="1:16" x14ac:dyDescent="0.25">
      <c r="A238" t="s">
        <v>526</v>
      </c>
      <c r="B238" t="s">
        <v>595</v>
      </c>
      <c r="C238" t="s">
        <v>535</v>
      </c>
      <c r="D238" t="s">
        <v>13</v>
      </c>
      <c r="E238" t="s">
        <v>14</v>
      </c>
      <c r="F238" s="3">
        <v>42802</v>
      </c>
      <c r="G238" t="s">
        <v>536</v>
      </c>
      <c r="H238">
        <v>10</v>
      </c>
      <c r="I238" s="5">
        <v>10.189547916610049</v>
      </c>
      <c r="J238">
        <v>500000000</v>
      </c>
      <c r="K238">
        <v>0.5</v>
      </c>
      <c r="L238" t="s">
        <v>351</v>
      </c>
      <c r="M238">
        <v>0.57999999999999996</v>
      </c>
      <c r="N238" t="s">
        <v>352</v>
      </c>
      <c r="O238" t="s">
        <v>530</v>
      </c>
      <c r="P238" s="5">
        <v>0.50944251705358823</v>
      </c>
    </row>
    <row r="239" spans="1:16" x14ac:dyDescent="0.25">
      <c r="A239" t="s">
        <v>526</v>
      </c>
      <c r="B239" t="s">
        <v>595</v>
      </c>
      <c r="C239" t="s">
        <v>537</v>
      </c>
      <c r="D239" t="s">
        <v>13</v>
      </c>
      <c r="E239" t="s">
        <v>14</v>
      </c>
      <c r="F239" s="3">
        <v>42611</v>
      </c>
      <c r="G239" t="s">
        <v>538</v>
      </c>
      <c r="H239">
        <v>10</v>
      </c>
      <c r="I239" s="5">
        <v>10.47799434282916</v>
      </c>
      <c r="J239">
        <v>500000000</v>
      </c>
      <c r="K239">
        <v>0.1</v>
      </c>
      <c r="L239" t="s">
        <v>351</v>
      </c>
      <c r="M239">
        <v>0.57999999999999996</v>
      </c>
      <c r="N239" t="s">
        <v>352</v>
      </c>
      <c r="O239" t="s">
        <v>530</v>
      </c>
      <c r="P239" s="5">
        <v>0.10219776289097032</v>
      </c>
    </row>
    <row r="240" spans="1:16" x14ac:dyDescent="0.25">
      <c r="A240" t="s">
        <v>526</v>
      </c>
      <c r="B240" t="s">
        <v>595</v>
      </c>
      <c r="C240" t="s">
        <v>539</v>
      </c>
      <c r="D240" t="s">
        <v>13</v>
      </c>
      <c r="E240" t="s">
        <v>14</v>
      </c>
      <c r="F240" s="3">
        <v>42977</v>
      </c>
      <c r="G240" t="s">
        <v>342</v>
      </c>
      <c r="H240">
        <v>10</v>
      </c>
      <c r="I240" s="5">
        <v>14.69143241999271</v>
      </c>
      <c r="J240">
        <v>750000000</v>
      </c>
      <c r="K240">
        <v>0.625</v>
      </c>
      <c r="L240" t="s">
        <v>351</v>
      </c>
      <c r="M240">
        <v>0.57999999999999996</v>
      </c>
      <c r="N240" t="s">
        <v>352</v>
      </c>
      <c r="O240" t="s">
        <v>530</v>
      </c>
      <c r="P240" s="5">
        <v>0.64560780100818116</v>
      </c>
    </row>
    <row r="241" spans="1:16" x14ac:dyDescent="0.25">
      <c r="A241" t="s">
        <v>526</v>
      </c>
      <c r="B241" t="s">
        <v>595</v>
      </c>
      <c r="C241" t="s">
        <v>540</v>
      </c>
      <c r="D241" t="s">
        <v>13</v>
      </c>
      <c r="E241" t="s">
        <v>14</v>
      </c>
      <c r="F241" s="3">
        <v>43266</v>
      </c>
      <c r="G241" t="s">
        <v>541</v>
      </c>
      <c r="H241">
        <v>9</v>
      </c>
      <c r="I241" s="5">
        <v>16.84350791402284</v>
      </c>
      <c r="J241">
        <v>500000000</v>
      </c>
      <c r="K241">
        <v>0.75</v>
      </c>
      <c r="L241" t="s">
        <v>329</v>
      </c>
      <c r="M241">
        <v>0.55000000000000004</v>
      </c>
      <c r="N241" t="s">
        <v>330</v>
      </c>
      <c r="O241" t="s">
        <v>530</v>
      </c>
      <c r="P241" s="5">
        <v>0.77061788141732035</v>
      </c>
    </row>
    <row r="242" spans="1:16" x14ac:dyDescent="0.25">
      <c r="A242" t="s">
        <v>526</v>
      </c>
      <c r="B242" t="s">
        <v>595</v>
      </c>
      <c r="C242" t="s">
        <v>542</v>
      </c>
      <c r="D242" t="s">
        <v>13</v>
      </c>
      <c r="E242" t="s">
        <v>14</v>
      </c>
      <c r="F242" s="3">
        <v>43495</v>
      </c>
      <c r="G242" t="s">
        <v>543</v>
      </c>
      <c r="H242">
        <v>10</v>
      </c>
      <c r="I242" s="5">
        <v>24.58305604403759</v>
      </c>
      <c r="J242">
        <v>750000000</v>
      </c>
      <c r="K242">
        <v>0.875</v>
      </c>
      <c r="L242" t="s">
        <v>351</v>
      </c>
      <c r="M242">
        <v>0.57999999999999996</v>
      </c>
      <c r="N242" t="s">
        <v>352</v>
      </c>
      <c r="O242" t="s">
        <v>530</v>
      </c>
      <c r="P242" s="5">
        <v>0.92302499024230733</v>
      </c>
    </row>
    <row r="243" spans="1:16" x14ac:dyDescent="0.25">
      <c r="A243" t="s">
        <v>526</v>
      </c>
      <c r="B243" t="s">
        <v>595</v>
      </c>
      <c r="C243" t="s">
        <v>544</v>
      </c>
      <c r="D243" t="s">
        <v>13</v>
      </c>
      <c r="E243" t="s">
        <v>14</v>
      </c>
      <c r="F243" s="3">
        <v>43181</v>
      </c>
      <c r="G243" t="s">
        <v>545</v>
      </c>
      <c r="H243">
        <v>10</v>
      </c>
      <c r="I243" s="5">
        <v>14.954179769768389</v>
      </c>
      <c r="J243">
        <v>750000000</v>
      </c>
      <c r="K243">
        <v>0.875</v>
      </c>
      <c r="L243" t="s">
        <v>351</v>
      </c>
      <c r="M243">
        <v>0.57999999999999996</v>
      </c>
      <c r="N243" t="s">
        <v>352</v>
      </c>
      <c r="O243" t="s">
        <v>530</v>
      </c>
      <c r="P243" s="5">
        <v>0.90759161489072593</v>
      </c>
    </row>
    <row r="244" spans="1:16" x14ac:dyDescent="0.25">
      <c r="A244" t="s">
        <v>526</v>
      </c>
      <c r="B244" t="s">
        <v>595</v>
      </c>
      <c r="C244" t="s">
        <v>546</v>
      </c>
      <c r="D244" t="s">
        <v>13</v>
      </c>
      <c r="E244" t="s">
        <v>14</v>
      </c>
      <c r="F244" s="3">
        <v>43571</v>
      </c>
      <c r="G244" t="s">
        <v>547</v>
      </c>
      <c r="H244">
        <v>15</v>
      </c>
      <c r="I244" s="5">
        <v>36.337028241749408</v>
      </c>
      <c r="J244">
        <v>500000000</v>
      </c>
      <c r="K244">
        <v>0.875</v>
      </c>
      <c r="L244" t="s">
        <v>481</v>
      </c>
      <c r="M244">
        <v>0.69</v>
      </c>
      <c r="N244" t="s">
        <v>482</v>
      </c>
      <c r="O244" t="str">
        <f t="shared" ref="O244" si="4">MID(L244,7,1)</f>
        <v>H</v>
      </c>
      <c r="P244" s="5">
        <v>1.0381443910541615</v>
      </c>
    </row>
    <row r="245" spans="1:16" x14ac:dyDescent="0.25">
      <c r="A245" t="s">
        <v>526</v>
      </c>
      <c r="B245" t="s">
        <v>595</v>
      </c>
      <c r="C245" t="s">
        <v>548</v>
      </c>
      <c r="D245" t="s">
        <v>13</v>
      </c>
      <c r="E245" t="s">
        <v>14</v>
      </c>
      <c r="F245" s="3">
        <v>43662</v>
      </c>
      <c r="G245" t="s">
        <v>549</v>
      </c>
      <c r="H245">
        <v>10</v>
      </c>
      <c r="I245" s="5">
        <v>24.64614591082244</v>
      </c>
      <c r="J245">
        <v>750000000</v>
      </c>
      <c r="K245">
        <v>0.05</v>
      </c>
      <c r="L245" t="s">
        <v>351</v>
      </c>
      <c r="M245">
        <v>0.57999999999999996</v>
      </c>
      <c r="N245" t="s">
        <v>352</v>
      </c>
      <c r="O245" t="s">
        <v>530</v>
      </c>
      <c r="P245" s="5">
        <v>5.4922422078813683E-2</v>
      </c>
    </row>
    <row r="246" spans="1:16" x14ac:dyDescent="0.25">
      <c r="A246" t="s">
        <v>526</v>
      </c>
      <c r="B246" t="s">
        <v>595</v>
      </c>
      <c r="C246" t="s">
        <v>550</v>
      </c>
      <c r="D246" t="s">
        <v>13</v>
      </c>
      <c r="E246" t="s">
        <v>18</v>
      </c>
      <c r="F246" s="3">
        <v>43732</v>
      </c>
      <c r="G246" t="s">
        <v>37</v>
      </c>
      <c r="H246">
        <v>7</v>
      </c>
      <c r="I246" s="5">
        <v>13.194798287790491</v>
      </c>
      <c r="J246">
        <v>1000000000</v>
      </c>
      <c r="K246">
        <v>0.01</v>
      </c>
      <c r="L246" t="s">
        <v>226</v>
      </c>
      <c r="M246">
        <v>0.5</v>
      </c>
      <c r="N246" t="s">
        <v>227</v>
      </c>
      <c r="O246" t="s">
        <v>530</v>
      </c>
      <c r="P246" s="5">
        <v>1.031411641543198E-2</v>
      </c>
    </row>
    <row r="247" spans="1:16" x14ac:dyDescent="0.25">
      <c r="A247" t="s">
        <v>526</v>
      </c>
      <c r="B247" t="s">
        <v>595</v>
      </c>
      <c r="C247" t="s">
        <v>551</v>
      </c>
      <c r="D247" t="s">
        <v>13</v>
      </c>
      <c r="E247" t="s">
        <v>14</v>
      </c>
      <c r="F247" s="3">
        <v>43781</v>
      </c>
      <c r="G247" t="s">
        <v>49</v>
      </c>
      <c r="H247">
        <v>8</v>
      </c>
      <c r="I247" s="5">
        <v>15.84535074380452</v>
      </c>
      <c r="J247">
        <v>500000000</v>
      </c>
      <c r="K247">
        <v>0.01</v>
      </c>
      <c r="L247" t="s">
        <v>291</v>
      </c>
      <c r="M247">
        <v>0.52</v>
      </c>
      <c r="N247" t="s">
        <v>292</v>
      </c>
      <c r="O247" t="s">
        <v>530</v>
      </c>
      <c r="P247" s="5">
        <v>1.0520501827937193E-2</v>
      </c>
    </row>
    <row r="248" spans="1:16" x14ac:dyDescent="0.25">
      <c r="A248" t="s">
        <v>526</v>
      </c>
      <c r="B248" t="s">
        <v>595</v>
      </c>
      <c r="C248" t="s">
        <v>552</v>
      </c>
      <c r="D248" t="s">
        <v>27</v>
      </c>
      <c r="E248" t="s">
        <v>28</v>
      </c>
      <c r="F248" s="3">
        <v>43781</v>
      </c>
      <c r="G248" t="s">
        <v>553</v>
      </c>
      <c r="H248">
        <v>15</v>
      </c>
      <c r="I248" s="5">
        <v>36.281947440871562</v>
      </c>
      <c r="J248">
        <v>500000000</v>
      </c>
      <c r="K248">
        <v>0.375</v>
      </c>
      <c r="L248" t="s">
        <v>485</v>
      </c>
      <c r="M248">
        <v>0.69</v>
      </c>
      <c r="N248" t="s">
        <v>486</v>
      </c>
      <c r="O248" t="s">
        <v>554</v>
      </c>
      <c r="P248" s="5">
        <v>0.4739815715964964</v>
      </c>
    </row>
    <row r="249" spans="1:16" x14ac:dyDescent="0.25">
      <c r="A249" t="s">
        <v>526</v>
      </c>
      <c r="B249" t="s">
        <v>595</v>
      </c>
      <c r="C249" t="s">
        <v>555</v>
      </c>
      <c r="D249" t="s">
        <v>13</v>
      </c>
      <c r="E249" t="s">
        <v>14</v>
      </c>
      <c r="F249" s="3">
        <v>45162</v>
      </c>
      <c r="G249" t="s">
        <v>556</v>
      </c>
      <c r="H249">
        <v>4</v>
      </c>
      <c r="I249" s="5">
        <v>14.71226220947614</v>
      </c>
      <c r="J249">
        <v>500000000</v>
      </c>
      <c r="K249">
        <v>3.375</v>
      </c>
      <c r="L249" t="s">
        <v>17</v>
      </c>
      <c r="M249">
        <v>0.42</v>
      </c>
      <c r="N249" t="s">
        <v>557</v>
      </c>
      <c r="O249" t="s">
        <v>530</v>
      </c>
      <c r="P249" s="5">
        <v>3.2853269995473546</v>
      </c>
    </row>
    <row r="250" spans="1:16" x14ac:dyDescent="0.25">
      <c r="A250" t="s">
        <v>526</v>
      </c>
      <c r="B250" t="s">
        <v>595</v>
      </c>
      <c r="C250" t="s">
        <v>558</v>
      </c>
      <c r="D250" t="s">
        <v>13</v>
      </c>
      <c r="E250" t="s">
        <v>14</v>
      </c>
      <c r="F250" s="3">
        <v>45244</v>
      </c>
      <c r="G250" t="s">
        <v>559</v>
      </c>
      <c r="H250">
        <v>4</v>
      </c>
      <c r="I250" s="5">
        <v>15.56472343287321</v>
      </c>
      <c r="J250">
        <v>500000000</v>
      </c>
      <c r="K250">
        <v>3.25</v>
      </c>
      <c r="L250" t="s">
        <v>17</v>
      </c>
      <c r="M250">
        <v>0.42</v>
      </c>
      <c r="N250" t="s">
        <v>557</v>
      </c>
      <c r="O250" t="s">
        <v>530</v>
      </c>
      <c r="P250" s="5">
        <v>3.1853844759062424</v>
      </c>
    </row>
    <row r="251" spans="1:16" x14ac:dyDescent="0.25">
      <c r="A251" t="s">
        <v>526</v>
      </c>
      <c r="B251" t="s">
        <v>595</v>
      </c>
      <c r="C251" t="s">
        <v>560</v>
      </c>
      <c r="D251" t="s">
        <v>13</v>
      </c>
      <c r="E251" t="s">
        <v>14</v>
      </c>
      <c r="F251" s="3">
        <v>45301</v>
      </c>
      <c r="G251" t="s">
        <v>251</v>
      </c>
      <c r="H251">
        <v>7</v>
      </c>
      <c r="I251" s="5">
        <v>32.134800385974692</v>
      </c>
      <c r="J251">
        <v>750000000</v>
      </c>
      <c r="K251">
        <v>2.75</v>
      </c>
      <c r="L251" t="s">
        <v>226</v>
      </c>
      <c r="M251">
        <v>0.5</v>
      </c>
      <c r="N251" t="s">
        <v>227</v>
      </c>
      <c r="O251" t="s">
        <v>530</v>
      </c>
      <c r="P251" s="5">
        <v>2.7390301841126292</v>
      </c>
    </row>
    <row r="252" spans="1:16" x14ac:dyDescent="0.25">
      <c r="A252" t="s">
        <v>526</v>
      </c>
      <c r="B252" t="s">
        <v>595</v>
      </c>
      <c r="C252" t="s">
        <v>561</v>
      </c>
      <c r="D252" t="s">
        <v>13</v>
      </c>
      <c r="E252" t="s">
        <v>14</v>
      </c>
      <c r="F252" s="3">
        <v>45357</v>
      </c>
      <c r="G252" t="s">
        <v>562</v>
      </c>
      <c r="H252">
        <v>10</v>
      </c>
      <c r="I252" s="5">
        <v>39.595653624624759</v>
      </c>
      <c r="J252">
        <v>650000000</v>
      </c>
      <c r="K252">
        <v>3.125</v>
      </c>
      <c r="L252" t="s">
        <v>351</v>
      </c>
      <c r="M252">
        <v>0.57999999999999996</v>
      </c>
      <c r="N252" t="s">
        <v>352</v>
      </c>
      <c r="O252" t="s">
        <v>530</v>
      </c>
      <c r="P252" s="5">
        <v>3.0782415114412078</v>
      </c>
    </row>
    <row r="253" spans="1:16" x14ac:dyDescent="0.25">
      <c r="A253" t="s">
        <v>526</v>
      </c>
      <c r="B253" t="s">
        <v>595</v>
      </c>
      <c r="C253" t="s">
        <v>563</v>
      </c>
      <c r="D253" t="s">
        <v>13</v>
      </c>
      <c r="E253" t="s">
        <v>14</v>
      </c>
      <c r="F253" s="3">
        <v>45412</v>
      </c>
      <c r="G253" t="s">
        <v>564</v>
      </c>
      <c r="H253">
        <v>8</v>
      </c>
      <c r="I253" s="5">
        <v>36.223081598816407</v>
      </c>
      <c r="J253">
        <v>725000000</v>
      </c>
      <c r="K253">
        <v>3</v>
      </c>
      <c r="L253" t="s">
        <v>291</v>
      </c>
      <c r="M253">
        <v>0.52</v>
      </c>
      <c r="N253" t="s">
        <v>292</v>
      </c>
      <c r="O253" t="s">
        <v>530</v>
      </c>
      <c r="P253" s="5">
        <v>2.9603461631446772</v>
      </c>
    </row>
    <row r="254" spans="1:16" x14ac:dyDescent="0.25">
      <c r="A254" t="s">
        <v>526</v>
      </c>
      <c r="B254" t="s">
        <v>595</v>
      </c>
      <c r="C254" t="s">
        <v>565</v>
      </c>
      <c r="D254" t="s">
        <v>13</v>
      </c>
      <c r="E254" t="s">
        <v>14</v>
      </c>
      <c r="F254" s="3">
        <v>45482</v>
      </c>
      <c r="G254" t="s">
        <v>566</v>
      </c>
      <c r="H254">
        <v>4</v>
      </c>
      <c r="I254" s="5">
        <v>18.98280935313802</v>
      </c>
      <c r="J254">
        <v>500000000</v>
      </c>
      <c r="K254">
        <v>3.125</v>
      </c>
      <c r="L254" t="s">
        <v>17</v>
      </c>
      <c r="M254">
        <v>0.42</v>
      </c>
      <c r="N254" t="s">
        <v>557</v>
      </c>
      <c r="O254" t="s">
        <v>530</v>
      </c>
      <c r="P254" s="5">
        <v>3.0535470001954268</v>
      </c>
    </row>
    <row r="255" spans="1:16" x14ac:dyDescent="0.25">
      <c r="A255" t="s">
        <v>526</v>
      </c>
      <c r="B255" t="s">
        <v>595</v>
      </c>
      <c r="C255" t="s">
        <v>567</v>
      </c>
      <c r="D255" t="s">
        <v>27</v>
      </c>
      <c r="E255" t="s">
        <v>28</v>
      </c>
      <c r="F255" s="3">
        <v>45587</v>
      </c>
      <c r="G255" t="s">
        <v>252</v>
      </c>
      <c r="H255">
        <v>7</v>
      </c>
      <c r="I255" s="5">
        <v>32.71285488269973</v>
      </c>
      <c r="J255">
        <v>500000000</v>
      </c>
      <c r="K255">
        <v>2.625</v>
      </c>
      <c r="L255" t="s">
        <v>226</v>
      </c>
      <c r="M255">
        <v>0.5</v>
      </c>
      <c r="N255" t="s">
        <v>237</v>
      </c>
      <c r="O255" t="s">
        <v>554</v>
      </c>
      <c r="P255" s="5">
        <v>2.6336119109488023</v>
      </c>
    </row>
    <row r="256" spans="1:16" x14ac:dyDescent="0.25">
      <c r="A256" t="s">
        <v>526</v>
      </c>
      <c r="B256" t="s">
        <v>595</v>
      </c>
      <c r="C256" t="s">
        <v>568</v>
      </c>
      <c r="D256" t="s">
        <v>13</v>
      </c>
      <c r="E256" t="s">
        <v>18</v>
      </c>
      <c r="F256" s="3">
        <v>45686</v>
      </c>
      <c r="G256" t="s">
        <v>569</v>
      </c>
      <c r="H256">
        <v>7</v>
      </c>
      <c r="I256" s="5">
        <v>33.979424004016487</v>
      </c>
      <c r="J256">
        <v>1000000000</v>
      </c>
      <c r="K256">
        <v>2.75</v>
      </c>
      <c r="L256" t="s">
        <v>226</v>
      </c>
      <c r="M256">
        <v>0.5</v>
      </c>
      <c r="N256" t="s">
        <v>227</v>
      </c>
      <c r="O256" t="s">
        <v>530</v>
      </c>
      <c r="P256" s="5">
        <v>2.7523119420313065</v>
      </c>
    </row>
    <row r="257" spans="1:16" x14ac:dyDescent="0.25">
      <c r="A257" t="s">
        <v>526</v>
      </c>
      <c r="B257" t="s">
        <v>595</v>
      </c>
      <c r="C257" t="s">
        <v>570</v>
      </c>
      <c r="D257" t="s">
        <v>13</v>
      </c>
      <c r="E257" t="s">
        <v>14</v>
      </c>
      <c r="F257" s="3">
        <v>45756</v>
      </c>
      <c r="G257" t="s">
        <v>571</v>
      </c>
      <c r="H257">
        <v>4</v>
      </c>
      <c r="I257" s="5">
        <v>21.996243669378519</v>
      </c>
      <c r="J257">
        <v>500000000</v>
      </c>
      <c r="K257">
        <v>2.5</v>
      </c>
      <c r="L257" t="s">
        <v>17</v>
      </c>
      <c r="M257">
        <v>0.42</v>
      </c>
      <c r="N257" t="s">
        <v>557</v>
      </c>
      <c r="O257" t="s">
        <v>530</v>
      </c>
      <c r="P257" s="5">
        <v>2.4960313102167557</v>
      </c>
    </row>
    <row r="258" spans="1:16" x14ac:dyDescent="0.25">
      <c r="A258" t="s">
        <v>526</v>
      </c>
      <c r="B258" t="s">
        <v>595</v>
      </c>
      <c r="C258" t="s">
        <v>572</v>
      </c>
      <c r="D258" t="s">
        <v>13</v>
      </c>
      <c r="E258" t="s">
        <v>14</v>
      </c>
      <c r="F258" s="3">
        <v>45756</v>
      </c>
      <c r="G258" t="s">
        <v>573</v>
      </c>
      <c r="H258">
        <v>10</v>
      </c>
      <c r="I258" s="5">
        <v>42.191056011202498</v>
      </c>
      <c r="J258">
        <v>500000000</v>
      </c>
      <c r="K258">
        <v>3</v>
      </c>
      <c r="L258" t="s">
        <v>351</v>
      </c>
      <c r="M258">
        <v>0.57999999999999996</v>
      </c>
      <c r="N258" t="s">
        <v>352</v>
      </c>
      <c r="O258" t="s">
        <v>530</v>
      </c>
      <c r="P258" s="5">
        <v>2.9968533040307679</v>
      </c>
    </row>
    <row r="259" spans="1:16" x14ac:dyDescent="0.25">
      <c r="A259" t="s">
        <v>526</v>
      </c>
      <c r="B259" t="s">
        <v>595</v>
      </c>
      <c r="C259" t="s">
        <v>574</v>
      </c>
      <c r="D259" t="s">
        <v>13</v>
      </c>
      <c r="E259" t="s">
        <v>14</v>
      </c>
      <c r="F259" s="3">
        <v>44392</v>
      </c>
      <c r="G259" t="s">
        <v>575</v>
      </c>
      <c r="H259">
        <v>9</v>
      </c>
      <c r="I259" s="5">
        <v>26.904185550844659</v>
      </c>
      <c r="J259">
        <v>750000000</v>
      </c>
      <c r="K259">
        <v>0.01</v>
      </c>
      <c r="L259" t="s">
        <v>329</v>
      </c>
      <c r="M259">
        <v>0.55000000000000004</v>
      </c>
      <c r="N259" t="s">
        <v>330</v>
      </c>
      <c r="O259" t="s">
        <v>530</v>
      </c>
      <c r="P259" s="5">
        <v>1.1477037317586838E-2</v>
      </c>
    </row>
    <row r="260" spans="1:16" x14ac:dyDescent="0.25">
      <c r="A260" t="s">
        <v>526</v>
      </c>
      <c r="B260" t="s">
        <v>595</v>
      </c>
      <c r="C260" t="s">
        <v>576</v>
      </c>
      <c r="D260" t="s">
        <v>13</v>
      </c>
      <c r="E260" t="s">
        <v>18</v>
      </c>
      <c r="F260" s="3">
        <v>44495</v>
      </c>
      <c r="G260" t="s">
        <v>577</v>
      </c>
      <c r="H260">
        <v>5</v>
      </c>
      <c r="I260" s="5">
        <v>13.481056769624621</v>
      </c>
      <c r="J260">
        <v>1000000000</v>
      </c>
      <c r="K260">
        <v>0.01</v>
      </c>
      <c r="L260" t="s">
        <v>117</v>
      </c>
      <c r="M260">
        <v>0.45</v>
      </c>
      <c r="N260" t="s">
        <v>200</v>
      </c>
      <c r="O260" t="s">
        <v>530</v>
      </c>
      <c r="P260" s="5">
        <v>1.0259777568022325E-2</v>
      </c>
    </row>
    <row r="261" spans="1:16" x14ac:dyDescent="0.25">
      <c r="A261" t="s">
        <v>526</v>
      </c>
      <c r="B261" t="s">
        <v>595</v>
      </c>
      <c r="C261" t="s">
        <v>578</v>
      </c>
      <c r="D261" t="s">
        <v>13</v>
      </c>
      <c r="E261" t="s">
        <v>18</v>
      </c>
      <c r="F261" s="3">
        <v>44228</v>
      </c>
      <c r="G261" t="s">
        <v>579</v>
      </c>
      <c r="H261">
        <v>9</v>
      </c>
      <c r="I261" s="5">
        <v>25.151949791144091</v>
      </c>
      <c r="J261">
        <v>1000000000</v>
      </c>
      <c r="K261">
        <v>0.01</v>
      </c>
      <c r="L261" t="s">
        <v>329</v>
      </c>
      <c r="M261">
        <v>0.55000000000000004</v>
      </c>
      <c r="N261" t="s">
        <v>330</v>
      </c>
      <c r="O261" t="s">
        <v>530</v>
      </c>
      <c r="P261" s="5">
        <v>1.125973967481872E-2</v>
      </c>
    </row>
    <row r="262" spans="1:16" x14ac:dyDescent="0.25">
      <c r="A262" t="s">
        <v>526</v>
      </c>
      <c r="B262" t="s">
        <v>595</v>
      </c>
      <c r="C262" t="s">
        <v>580</v>
      </c>
      <c r="D262" t="s">
        <v>13</v>
      </c>
      <c r="E262" t="s">
        <v>14</v>
      </c>
      <c r="F262" s="3">
        <v>44306</v>
      </c>
      <c r="G262" t="s">
        <v>205</v>
      </c>
      <c r="H262">
        <v>8</v>
      </c>
      <c r="I262" s="5">
        <v>23.028944825189171</v>
      </c>
      <c r="J262">
        <v>1000000000</v>
      </c>
      <c r="K262">
        <v>0.01</v>
      </c>
      <c r="L262" t="s">
        <v>291</v>
      </c>
      <c r="M262">
        <v>0.52</v>
      </c>
      <c r="N262" t="s">
        <v>292</v>
      </c>
      <c r="O262" t="s">
        <v>530</v>
      </c>
      <c r="P262" s="5">
        <v>1.094325375763976E-2</v>
      </c>
    </row>
    <row r="263" spans="1:16" x14ac:dyDescent="0.25">
      <c r="A263" t="s">
        <v>526</v>
      </c>
      <c r="B263" t="s">
        <v>595</v>
      </c>
      <c r="C263" t="s">
        <v>581</v>
      </c>
      <c r="D263" t="s">
        <v>13</v>
      </c>
      <c r="E263" t="s">
        <v>18</v>
      </c>
      <c r="F263" s="3">
        <v>44614</v>
      </c>
      <c r="G263" t="s">
        <v>582</v>
      </c>
      <c r="H263">
        <v>8</v>
      </c>
      <c r="I263" s="5">
        <v>23.013514971870279</v>
      </c>
      <c r="J263">
        <v>1000000000</v>
      </c>
      <c r="K263">
        <v>0.75</v>
      </c>
      <c r="L263" t="s">
        <v>291</v>
      </c>
      <c r="M263">
        <v>0.52</v>
      </c>
      <c r="N263" t="s">
        <v>292</v>
      </c>
      <c r="O263" t="s">
        <v>530</v>
      </c>
      <c r="P263" s="5">
        <v>0.80663375600942155</v>
      </c>
    </row>
    <row r="264" spans="1:16" x14ac:dyDescent="0.25">
      <c r="A264" t="s">
        <v>526</v>
      </c>
      <c r="B264" t="s">
        <v>595</v>
      </c>
      <c r="C264" t="s">
        <v>583</v>
      </c>
      <c r="D264" t="s">
        <v>13</v>
      </c>
      <c r="E264" t="s">
        <v>14</v>
      </c>
      <c r="F264" s="3">
        <v>44712</v>
      </c>
      <c r="G264" t="s">
        <v>584</v>
      </c>
      <c r="H264">
        <v>9</v>
      </c>
      <c r="I264" s="5">
        <v>30.869054159290311</v>
      </c>
      <c r="J264">
        <v>750000000</v>
      </c>
      <c r="K264">
        <v>1.625</v>
      </c>
      <c r="L264" t="s">
        <v>329</v>
      </c>
      <c r="M264">
        <v>0.55000000000000004</v>
      </c>
      <c r="N264" t="s">
        <v>330</v>
      </c>
      <c r="O264" t="s">
        <v>530</v>
      </c>
      <c r="P264" s="5">
        <v>1.7230593050504193</v>
      </c>
    </row>
    <row r="265" spans="1:16" x14ac:dyDescent="0.25">
      <c r="A265" t="s">
        <v>526</v>
      </c>
      <c r="B265" t="s">
        <v>595</v>
      </c>
      <c r="C265" t="s">
        <v>585</v>
      </c>
      <c r="D265" t="s">
        <v>27</v>
      </c>
      <c r="E265" t="s">
        <v>28</v>
      </c>
      <c r="F265" s="3">
        <v>45029</v>
      </c>
      <c r="G265" t="s">
        <v>586</v>
      </c>
      <c r="H265">
        <v>5</v>
      </c>
      <c r="I265" s="5">
        <v>14.85151890702822</v>
      </c>
      <c r="J265">
        <v>500000000</v>
      </c>
      <c r="K265">
        <v>3</v>
      </c>
      <c r="L265" t="s">
        <v>101</v>
      </c>
      <c r="M265">
        <v>0.45</v>
      </c>
      <c r="N265" t="s">
        <v>154</v>
      </c>
      <c r="O265" t="s">
        <v>554</v>
      </c>
      <c r="P265" s="5">
        <v>2.9494029916777684</v>
      </c>
    </row>
    <row r="266" spans="1:16" x14ac:dyDescent="0.25">
      <c r="A266" t="s">
        <v>526</v>
      </c>
      <c r="B266" t="s">
        <v>595</v>
      </c>
      <c r="C266" t="s">
        <v>587</v>
      </c>
      <c r="D266" t="s">
        <v>13</v>
      </c>
      <c r="E266" t="s">
        <v>14</v>
      </c>
      <c r="F266" s="3">
        <v>45077</v>
      </c>
      <c r="G266" t="s">
        <v>588</v>
      </c>
      <c r="H266">
        <v>10</v>
      </c>
      <c r="I266" s="5">
        <v>39.003257811979331</v>
      </c>
      <c r="J266">
        <v>1000000000</v>
      </c>
      <c r="K266">
        <v>3.25</v>
      </c>
      <c r="L266" t="s">
        <v>351</v>
      </c>
      <c r="M266">
        <v>0.57999999999999996</v>
      </c>
      <c r="N266" t="s">
        <v>352</v>
      </c>
      <c r="O266" t="s">
        <v>530</v>
      </c>
      <c r="P266" s="5">
        <v>3.1669468196545592</v>
      </c>
    </row>
    <row r="267" spans="1:16" x14ac:dyDescent="0.25">
      <c r="A267" t="s">
        <v>526</v>
      </c>
      <c r="B267" t="s">
        <v>595</v>
      </c>
      <c r="C267" t="s">
        <v>589</v>
      </c>
      <c r="D267" t="s">
        <v>13</v>
      </c>
      <c r="E267" t="s">
        <v>14</v>
      </c>
      <c r="F267" s="3">
        <v>44824</v>
      </c>
      <c r="G267" t="s">
        <v>590</v>
      </c>
      <c r="H267">
        <v>9</v>
      </c>
      <c r="I267" s="5">
        <v>30.906377804349798</v>
      </c>
      <c r="J267">
        <v>850000000</v>
      </c>
      <c r="K267">
        <v>2.5</v>
      </c>
      <c r="L267" t="s">
        <v>329</v>
      </c>
      <c r="M267">
        <v>0.55000000000000004</v>
      </c>
      <c r="N267" t="s">
        <v>330</v>
      </c>
      <c r="O267" t="s">
        <v>530</v>
      </c>
      <c r="P267" s="5">
        <v>2.5303515670467251</v>
      </c>
    </row>
    <row r="268" spans="1:16" x14ac:dyDescent="0.25">
      <c r="A268" t="s">
        <v>526</v>
      </c>
      <c r="B268" t="s">
        <v>595</v>
      </c>
      <c r="C268" t="s">
        <v>591</v>
      </c>
      <c r="D268" t="s">
        <v>13</v>
      </c>
      <c r="E268" t="s">
        <v>14</v>
      </c>
      <c r="F268" s="3">
        <v>44942</v>
      </c>
      <c r="G268" t="s">
        <v>592</v>
      </c>
      <c r="H268">
        <v>10</v>
      </c>
      <c r="I268" s="5">
        <v>34.008856826343127</v>
      </c>
      <c r="J268">
        <v>750000000</v>
      </c>
      <c r="K268">
        <v>3</v>
      </c>
      <c r="L268" t="s">
        <v>351</v>
      </c>
      <c r="M268">
        <v>0.57999999999999996</v>
      </c>
      <c r="N268" t="s">
        <v>352</v>
      </c>
      <c r="O268" t="s">
        <v>530</v>
      </c>
      <c r="P268" s="5">
        <v>2.9625094429988494</v>
      </c>
    </row>
  </sheetData>
  <autoFilter ref="A1:O268" xr:uid="{ED087079-413D-469E-8C7D-9379D374D3DD}"/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DZ HYP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Puzikov, Denis</dc:creator>
  <cp:lastModifiedBy>Puzikov, Denis</cp:lastModifiedBy>
  <dcterms:created xsi:type="dcterms:W3CDTF">2025-06-30T10:58:30Z</dcterms:created>
  <dcterms:modified xsi:type="dcterms:W3CDTF">2025-07-31T11:24:38Z</dcterms:modified>
</cp:coreProperties>
</file>