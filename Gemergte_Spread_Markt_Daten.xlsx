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WP\Mitarbeiter\Puzikov\Marktkonformitätsthemen\"/>
    </mc:Choice>
  </mc:AlternateContent>
  <xr:revisionPtr revIDLastSave="0" documentId="13_ncr:1_{EA635022-6C20-4CDB-B29E-ECCA73D0F43C}" xr6:coauthVersionLast="47" xr6:coauthVersionMax="47" xr10:uidLastSave="{00000000-0000-0000-0000-000000000000}"/>
  <bookViews>
    <workbookView xWindow="26460" yWindow="1155" windowWidth="21675" windowHeight="16275" xr2:uid="{00000000-000D-0000-FFFF-FFFF00000000}"/>
  </bookViews>
  <sheets>
    <sheet name="Sheet1" sheetId="1" r:id="rId1"/>
  </sheets>
  <calcPr calcId="191029" iterateCount="1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9" i="1" l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398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62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29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278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33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179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55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83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3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" i="1"/>
</calcChain>
</file>

<file path=xl/sharedStrings.xml><?xml version="1.0" encoding="utf-8"?>
<sst xmlns="http://schemas.openxmlformats.org/spreadsheetml/2006/main" count="1874" uniqueCount="113">
  <si>
    <t>Datum</t>
  </si>
  <si>
    <t>Emittent</t>
  </si>
  <si>
    <t>Fälligkeit</t>
  </si>
  <si>
    <t>Laufzeit</t>
  </si>
  <si>
    <t>Währ.</t>
  </si>
  <si>
    <t>Volumen</t>
  </si>
  <si>
    <t>Referenzzins</t>
  </si>
  <si>
    <t>Laufzeit in Jahren</t>
  </si>
  <si>
    <t>Zinsart</t>
  </si>
  <si>
    <t>LANDBK HESSEN-TH</t>
  </si>
  <si>
    <t>PORTUGUESE OT'S</t>
  </si>
  <si>
    <t>OBEROSTERR LB</t>
  </si>
  <si>
    <t>DEUTSCHLAND REP</t>
  </si>
  <si>
    <t>NIDDA HEALTHCARE</t>
  </si>
  <si>
    <t>IPD 3 BV</t>
  </si>
  <si>
    <t>FISERV FUNDING</t>
  </si>
  <si>
    <t>ETHIAS</t>
  </si>
  <si>
    <t>TYCO ELECTRONICS</t>
  </si>
  <si>
    <t>CCF SFH SACA</t>
  </si>
  <si>
    <t>BAYERNLABO</t>
  </si>
  <si>
    <t>SACHSEN FREISTAT</t>
  </si>
  <si>
    <t>BTPS</t>
  </si>
  <si>
    <t>RAIFF LB BURGEN</t>
  </si>
  <si>
    <t>EIRCOM FINANCE</t>
  </si>
  <si>
    <t>ICCREA BANCA SPA</t>
  </si>
  <si>
    <t>REP OF AUSTRIA</t>
  </si>
  <si>
    <t>BELGIAN GOVT</t>
  </si>
  <si>
    <t>HAMBURGER SPARKA</t>
  </si>
  <si>
    <t>PCC SE</t>
  </si>
  <si>
    <t>LOTTOMATICA GR</t>
  </si>
  <si>
    <t>NRW.BANK</t>
  </si>
  <si>
    <t>LB BADEN-WUERTT</t>
  </si>
  <si>
    <t>NORDDEUTSCHE L/B</t>
  </si>
  <si>
    <t>BANK FUR KARNTEN</t>
  </si>
  <si>
    <t>DEUTSCHE BANK AG</t>
  </si>
  <si>
    <t>SLOVAKIA GOVT</t>
  </si>
  <si>
    <t>SPARK KITZBUEHEL</t>
  </si>
  <si>
    <t>BANGA LTD</t>
  </si>
  <si>
    <t>PRAEMIA HEALTHCR</t>
  </si>
  <si>
    <t>FRANCE O.A.T.I/L</t>
  </si>
  <si>
    <t>FRANCE O.A.T.</t>
  </si>
  <si>
    <t>HYPO BURGENLAND</t>
  </si>
  <si>
    <t>OBERBANK AG</t>
  </si>
  <si>
    <t>HELLENIC REPUBLI</t>
  </si>
  <si>
    <t>METAWEALTH LUXEM</t>
  </si>
  <si>
    <t>REAL ESTATE FRAN</t>
  </si>
  <si>
    <t>SPK OBEROESTER</t>
  </si>
  <si>
    <t>BPCE SFH</t>
  </si>
  <si>
    <t>FINNISH GOV'T</t>
  </si>
  <si>
    <t>GENERALFINANCE</t>
  </si>
  <si>
    <t>LFA FOERDERBK BY</t>
  </si>
  <si>
    <t>MECKLENBG-VORPOM</t>
  </si>
  <si>
    <t>SPANISH GOV'T</t>
  </si>
  <si>
    <t>HAMBURG FREIE HA</t>
  </si>
  <si>
    <t>REDCARE PHARMA</t>
  </si>
  <si>
    <t>OESTER KONTROLBK</t>
  </si>
  <si>
    <t>INVESTBANK SH</t>
  </si>
  <si>
    <t>NIEDERSACHSEN</t>
  </si>
  <si>
    <t>NETHERLANDS GOVT</t>
  </si>
  <si>
    <t>LB SAAR GIROZEN</t>
  </si>
  <si>
    <t>SPARKAS NEUHOFEN</t>
  </si>
  <si>
    <t>SUN FINANCE</t>
  </si>
  <si>
    <t>ROEMERBERG FINAN</t>
  </si>
  <si>
    <t>GARANTIA</t>
  </si>
  <si>
    <t>CARRARO FINANCE</t>
  </si>
  <si>
    <t>LAND SCHLES-HOLS</t>
  </si>
  <si>
    <t>SPK KOELNBONN</t>
  </si>
  <si>
    <t>BANK FUR TIR VOR</t>
  </si>
  <si>
    <t>CLUBE DO PORTO</t>
  </si>
  <si>
    <t>GPH MLTA FIN</t>
  </si>
  <si>
    <t>CIDRON AIDA FINC</t>
  </si>
  <si>
    <t>TIKEHAU CAPITAL</t>
  </si>
  <si>
    <t>CITY BOCHUM</t>
  </si>
  <si>
    <t>BUNDESSCHATZANW</t>
  </si>
  <si>
    <t>OPAL BIDCO SAS</t>
  </si>
  <si>
    <t>BCC PIANFEI E RO</t>
  </si>
  <si>
    <t>EUR</t>
  </si>
  <si>
    <t> 4.700.000.000.000</t>
  </si>
  <si>
    <t>DEUR03H08Y</t>
  </si>
  <si>
    <t>DEUR03K08Y</t>
  </si>
  <si>
    <t>DEUR03T08Y</t>
  </si>
  <si>
    <t>DEUR03K04Y</t>
  </si>
  <si>
    <t>DEUR03T04Y</t>
  </si>
  <si>
    <t>DEUR03H07Y</t>
  </si>
  <si>
    <t>DEUR03K07Y</t>
  </si>
  <si>
    <t>DEUR03T07Y</t>
  </si>
  <si>
    <t>DEUR03H05Y</t>
  </si>
  <si>
    <t>DEUR03K05Y</t>
  </si>
  <si>
    <t>DEUR03T05Y</t>
  </si>
  <si>
    <t>DEUR03H06Y</t>
  </si>
  <si>
    <t>DEUR03K06Y</t>
  </si>
  <si>
    <t>DEUR03T06Y</t>
  </si>
  <si>
    <t>DEUR03H03Y</t>
  </si>
  <si>
    <t>DEUR03K03Y</t>
  </si>
  <si>
    <t>DEUR03T03Y</t>
  </si>
  <si>
    <t>DEUR03H10Y</t>
  </si>
  <si>
    <t>DEUR03K10Y</t>
  </si>
  <si>
    <t>DEUR03T10Y</t>
  </si>
  <si>
    <t>DEUR03H01Y</t>
  </si>
  <si>
    <t>DEUR03K01Y</t>
  </si>
  <si>
    <t>DEUR03T01Y</t>
  </si>
  <si>
    <t>DEUR03H02Y</t>
  </si>
  <si>
    <t>DEUR03K02Y</t>
  </si>
  <si>
    <t>DEUR03T02Y</t>
  </si>
  <si>
    <t>DEUR03H09Y</t>
  </si>
  <si>
    <t>DEUR03K09Y</t>
  </si>
  <si>
    <t>DEUR03T09Y</t>
  </si>
  <si>
    <t>H</t>
  </si>
  <si>
    <t>K</t>
  </si>
  <si>
    <t>T</t>
  </si>
  <si>
    <t>Spread DZ HYP</t>
  </si>
  <si>
    <t>Kupon DZ HYP</t>
  </si>
  <si>
    <t>Kupon Externer Emittent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</si>
</sst>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2" borderId="0" xfId="1" applyFont="1"/>
    <xf numFmtId="0" fontId="4" fillId="0" borderId="0" xfId="0" applyFont="1"/>
    <xf numFmtId="165" fontId="0" fillId="0" borderId="0" xfId="0" applyNumberFormat="1"/>
  </cellXfs>
  <cellStyles count="2">
    <cellStyle name="Akzent4" xfId="1" builtinId="41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7"/>
  <sheetViews>
    <sheetView tabSelected="1" topLeftCell="F1" zoomScale="85" zoomScaleNormal="85" workbookViewId="0">
      <selection activeCell="L10" sqref="L10"/>
    </sheetView>
  </sheetViews>
  <sheetFormatPr baseColWidth="10" defaultColWidth="8.85546875" defaultRowHeight="14.25" x14ac:dyDescent="0.2"/>
  <cols>
    <col min="1" max="1" width="38.140625" style="2" customWidth="1"/>
    <col min="2" max="2" width="28.42578125" style="1" customWidth="1"/>
    <col min="3" max="3" width="30.7109375" style="1" customWidth="1"/>
    <col min="4" max="4" width="34.5703125" style="2" customWidth="1"/>
    <col min="5" max="5" width="26" style="1" customWidth="1"/>
    <col min="6" max="6" width="21" style="1" customWidth="1"/>
    <col min="7" max="7" width="16.85546875" style="1" customWidth="1"/>
    <col min="8" max="9" width="27" style="1" customWidth="1"/>
    <col min="10" max="10" width="17.5703125" style="1" customWidth="1"/>
    <col min="11" max="11" width="21.5703125" style="1" customWidth="1"/>
    <col min="12" max="12" width="84" style="1" customWidth="1"/>
    <col min="13" max="16384" width="8.85546875" style="1"/>
  </cols>
  <sheetData>
    <row r="1" spans="1:12" s="4" customFormat="1" ht="15.75" x14ac:dyDescent="0.25">
      <c r="A1" s="3" t="s">
        <v>0</v>
      </c>
      <c r="B1" s="3" t="s">
        <v>1</v>
      </c>
      <c r="C1" s="3" t="s">
        <v>112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110</v>
      </c>
      <c r="I1" s="3" t="s">
        <v>111</v>
      </c>
      <c r="J1" s="3" t="s">
        <v>6</v>
      </c>
      <c r="K1" s="3" t="s">
        <v>7</v>
      </c>
      <c r="L1" s="3" t="s">
        <v>8</v>
      </c>
    </row>
    <row r="2" spans="1:12" ht="15" x14ac:dyDescent="0.25">
      <c r="A2" s="5">
        <v>45776</v>
      </c>
      <c r="B2" t="s">
        <v>9</v>
      </c>
      <c r="C2">
        <v>1.7</v>
      </c>
      <c r="D2" s="5">
        <v>46281</v>
      </c>
      <c r="E2">
        <v>1</v>
      </c>
      <c r="F2" t="s">
        <v>76</v>
      </c>
      <c r="G2">
        <v>100000000</v>
      </c>
      <c r="H2">
        <v>0.16</v>
      </c>
      <c r="I2">
        <f>H2+1.8525</f>
        <v>2.0125000000000002</v>
      </c>
      <c r="J2" t="s">
        <v>98</v>
      </c>
      <c r="K2">
        <v>1</v>
      </c>
      <c r="L2" t="s">
        <v>107</v>
      </c>
    </row>
    <row r="3" spans="1:12" ht="15" x14ac:dyDescent="0.25">
      <c r="A3" s="5">
        <v>45776</v>
      </c>
      <c r="B3" t="s">
        <v>9</v>
      </c>
      <c r="C3">
        <v>1.7</v>
      </c>
      <c r="D3" s="5">
        <v>46281</v>
      </c>
      <c r="E3">
        <v>1</v>
      </c>
      <c r="F3" t="s">
        <v>76</v>
      </c>
      <c r="G3">
        <v>100000000</v>
      </c>
      <c r="H3">
        <v>0.16</v>
      </c>
      <c r="I3">
        <f t="shared" ref="I3:I34" si="0">H3+1.8525</f>
        <v>2.0125000000000002</v>
      </c>
      <c r="J3" t="s">
        <v>99</v>
      </c>
      <c r="K3">
        <v>1</v>
      </c>
      <c r="L3" t="s">
        <v>108</v>
      </c>
    </row>
    <row r="4" spans="1:12" ht="15" x14ac:dyDescent="0.25">
      <c r="A4" s="5">
        <v>45776</v>
      </c>
      <c r="B4" t="s">
        <v>9</v>
      </c>
      <c r="C4">
        <v>1.7</v>
      </c>
      <c r="D4" s="5">
        <v>46281</v>
      </c>
      <c r="E4">
        <v>1</v>
      </c>
      <c r="F4" t="s">
        <v>76</v>
      </c>
      <c r="G4">
        <v>100000000</v>
      </c>
      <c r="H4">
        <v>0.3</v>
      </c>
      <c r="I4">
        <f t="shared" si="0"/>
        <v>2.1524999999999999</v>
      </c>
      <c r="J4" t="s">
        <v>100</v>
      </c>
      <c r="K4">
        <v>1</v>
      </c>
      <c r="L4" t="s">
        <v>109</v>
      </c>
    </row>
    <row r="5" spans="1:12" ht="15" x14ac:dyDescent="0.25">
      <c r="A5" s="5">
        <v>45776</v>
      </c>
      <c r="B5" t="s">
        <v>9</v>
      </c>
      <c r="C5">
        <v>1.6</v>
      </c>
      <c r="D5" s="5">
        <v>46093</v>
      </c>
      <c r="E5">
        <v>1</v>
      </c>
      <c r="F5" t="s">
        <v>76</v>
      </c>
      <c r="G5">
        <v>150000000</v>
      </c>
      <c r="H5">
        <v>0.16</v>
      </c>
      <c r="I5">
        <f t="shared" si="0"/>
        <v>2.0125000000000002</v>
      </c>
      <c r="J5" t="s">
        <v>98</v>
      </c>
      <c r="K5">
        <v>1</v>
      </c>
      <c r="L5" t="s">
        <v>107</v>
      </c>
    </row>
    <row r="6" spans="1:12" ht="15" x14ac:dyDescent="0.25">
      <c r="A6" s="5">
        <v>45776</v>
      </c>
      <c r="B6" t="s">
        <v>9</v>
      </c>
      <c r="C6">
        <v>1.6</v>
      </c>
      <c r="D6" s="5">
        <v>46093</v>
      </c>
      <c r="E6">
        <v>1</v>
      </c>
      <c r="F6" t="s">
        <v>76</v>
      </c>
      <c r="G6">
        <v>150000000</v>
      </c>
      <c r="H6">
        <v>0.16</v>
      </c>
      <c r="I6">
        <f t="shared" si="0"/>
        <v>2.0125000000000002</v>
      </c>
      <c r="J6" t="s">
        <v>99</v>
      </c>
      <c r="K6">
        <v>1</v>
      </c>
      <c r="L6" t="s">
        <v>108</v>
      </c>
    </row>
    <row r="7" spans="1:12" ht="15" x14ac:dyDescent="0.25">
      <c r="A7" s="5">
        <v>45776</v>
      </c>
      <c r="B7" t="s">
        <v>9</v>
      </c>
      <c r="C7">
        <v>1.6</v>
      </c>
      <c r="D7" s="5">
        <v>46093</v>
      </c>
      <c r="E7">
        <v>1</v>
      </c>
      <c r="F7" t="s">
        <v>76</v>
      </c>
      <c r="G7">
        <v>150000000</v>
      </c>
      <c r="H7">
        <v>0.3</v>
      </c>
      <c r="I7">
        <f t="shared" si="0"/>
        <v>2.1524999999999999</v>
      </c>
      <c r="J7" t="s">
        <v>100</v>
      </c>
      <c r="K7">
        <v>1</v>
      </c>
      <c r="L7" t="s">
        <v>109</v>
      </c>
    </row>
    <row r="8" spans="1:12" ht="15" x14ac:dyDescent="0.25">
      <c r="A8" s="5">
        <v>45776</v>
      </c>
      <c r="B8" t="s">
        <v>9</v>
      </c>
      <c r="C8">
        <v>1.65</v>
      </c>
      <c r="D8" s="5">
        <v>46185</v>
      </c>
      <c r="E8">
        <v>1</v>
      </c>
      <c r="F8" t="s">
        <v>76</v>
      </c>
      <c r="G8">
        <v>150000000</v>
      </c>
      <c r="H8">
        <v>0.16</v>
      </c>
      <c r="I8">
        <f t="shared" si="0"/>
        <v>2.0125000000000002</v>
      </c>
      <c r="J8" t="s">
        <v>98</v>
      </c>
      <c r="K8">
        <v>1</v>
      </c>
      <c r="L8" t="s">
        <v>107</v>
      </c>
    </row>
    <row r="9" spans="1:12" ht="15" x14ac:dyDescent="0.25">
      <c r="A9" s="5">
        <v>45776</v>
      </c>
      <c r="B9" t="s">
        <v>9</v>
      </c>
      <c r="C9">
        <v>1.65</v>
      </c>
      <c r="D9" s="5">
        <v>46185</v>
      </c>
      <c r="E9">
        <v>1</v>
      </c>
      <c r="F9" t="s">
        <v>76</v>
      </c>
      <c r="G9">
        <v>150000000</v>
      </c>
      <c r="H9">
        <v>0.16</v>
      </c>
      <c r="I9">
        <f t="shared" si="0"/>
        <v>2.0125000000000002</v>
      </c>
      <c r="J9" t="s">
        <v>99</v>
      </c>
      <c r="K9">
        <v>1</v>
      </c>
      <c r="L9" t="s">
        <v>108</v>
      </c>
    </row>
    <row r="10" spans="1:12" ht="15" x14ac:dyDescent="0.25">
      <c r="A10" s="5">
        <v>45776</v>
      </c>
      <c r="B10" t="s">
        <v>9</v>
      </c>
      <c r="C10">
        <v>1.65</v>
      </c>
      <c r="D10" s="5">
        <v>46185</v>
      </c>
      <c r="E10">
        <v>1</v>
      </c>
      <c r="F10" t="s">
        <v>76</v>
      </c>
      <c r="G10">
        <v>150000000</v>
      </c>
      <c r="H10">
        <v>0.3</v>
      </c>
      <c r="I10">
        <f t="shared" si="0"/>
        <v>2.1524999999999999</v>
      </c>
      <c r="J10" t="s">
        <v>100</v>
      </c>
      <c r="K10">
        <v>1</v>
      </c>
      <c r="L10" t="s">
        <v>109</v>
      </c>
    </row>
    <row r="11" spans="1:12" ht="15" x14ac:dyDescent="0.25">
      <c r="A11" s="5">
        <v>45776</v>
      </c>
      <c r="B11" t="s">
        <v>9</v>
      </c>
      <c r="C11">
        <v>1.75</v>
      </c>
      <c r="D11" s="5">
        <v>46003</v>
      </c>
      <c r="E11">
        <v>1</v>
      </c>
      <c r="F11" t="s">
        <v>76</v>
      </c>
      <c r="G11">
        <v>150000000</v>
      </c>
      <c r="H11">
        <v>0.16</v>
      </c>
      <c r="I11">
        <f t="shared" si="0"/>
        <v>2.0125000000000002</v>
      </c>
      <c r="J11" t="s">
        <v>98</v>
      </c>
      <c r="K11">
        <v>1</v>
      </c>
      <c r="L11" t="s">
        <v>107</v>
      </c>
    </row>
    <row r="12" spans="1:12" ht="15" x14ac:dyDescent="0.25">
      <c r="A12" s="5">
        <v>45776</v>
      </c>
      <c r="B12" t="s">
        <v>9</v>
      </c>
      <c r="C12">
        <v>1.75</v>
      </c>
      <c r="D12" s="5">
        <v>46003</v>
      </c>
      <c r="E12">
        <v>1</v>
      </c>
      <c r="F12" t="s">
        <v>76</v>
      </c>
      <c r="G12">
        <v>150000000</v>
      </c>
      <c r="H12">
        <v>0.16</v>
      </c>
      <c r="I12">
        <f t="shared" si="0"/>
        <v>2.0125000000000002</v>
      </c>
      <c r="J12" t="s">
        <v>99</v>
      </c>
      <c r="K12">
        <v>1</v>
      </c>
      <c r="L12" t="s">
        <v>108</v>
      </c>
    </row>
    <row r="13" spans="1:12" ht="15" x14ac:dyDescent="0.25">
      <c r="A13" s="5">
        <v>45776</v>
      </c>
      <c r="B13" t="s">
        <v>9</v>
      </c>
      <c r="C13">
        <v>1.75</v>
      </c>
      <c r="D13" s="5">
        <v>46003</v>
      </c>
      <c r="E13">
        <v>1</v>
      </c>
      <c r="F13" t="s">
        <v>76</v>
      </c>
      <c r="G13">
        <v>150000000</v>
      </c>
      <c r="H13">
        <v>0.3</v>
      </c>
      <c r="I13">
        <f t="shared" si="0"/>
        <v>2.1524999999999999</v>
      </c>
      <c r="J13" t="s">
        <v>100</v>
      </c>
      <c r="K13">
        <v>1</v>
      </c>
      <c r="L13" t="s">
        <v>109</v>
      </c>
    </row>
    <row r="14" spans="1:12" ht="15" x14ac:dyDescent="0.25">
      <c r="A14" s="5">
        <v>45775</v>
      </c>
      <c r="B14" t="s">
        <v>25</v>
      </c>
      <c r="C14">
        <v>0.75</v>
      </c>
      <c r="D14" s="5">
        <v>46315</v>
      </c>
      <c r="E14">
        <v>1</v>
      </c>
      <c r="F14" t="s">
        <v>76</v>
      </c>
      <c r="G14">
        <v>16760000000000</v>
      </c>
      <c r="H14">
        <v>0.16</v>
      </c>
      <c r="I14">
        <f t="shared" si="0"/>
        <v>2.0125000000000002</v>
      </c>
      <c r="J14" t="s">
        <v>98</v>
      </c>
      <c r="K14">
        <v>1</v>
      </c>
      <c r="L14" t="s">
        <v>107</v>
      </c>
    </row>
    <row r="15" spans="1:12" ht="15" x14ac:dyDescent="0.25">
      <c r="A15" s="5">
        <v>45775</v>
      </c>
      <c r="B15" t="s">
        <v>25</v>
      </c>
      <c r="C15">
        <v>0.75</v>
      </c>
      <c r="D15" s="5">
        <v>46315</v>
      </c>
      <c r="E15">
        <v>1</v>
      </c>
      <c r="F15" t="s">
        <v>76</v>
      </c>
      <c r="G15">
        <v>16760000000000</v>
      </c>
      <c r="H15">
        <v>0.16</v>
      </c>
      <c r="I15">
        <f t="shared" si="0"/>
        <v>2.0125000000000002</v>
      </c>
      <c r="J15" t="s">
        <v>99</v>
      </c>
      <c r="K15">
        <v>1</v>
      </c>
      <c r="L15" t="s">
        <v>108</v>
      </c>
    </row>
    <row r="16" spans="1:12" ht="15" x14ac:dyDescent="0.25">
      <c r="A16" s="5">
        <v>45775</v>
      </c>
      <c r="B16" t="s">
        <v>25</v>
      </c>
      <c r="C16">
        <v>0.75</v>
      </c>
      <c r="D16" s="5">
        <v>46315</v>
      </c>
      <c r="E16">
        <v>1</v>
      </c>
      <c r="F16" t="s">
        <v>76</v>
      </c>
      <c r="G16">
        <v>16760000000000</v>
      </c>
      <c r="H16">
        <v>0.22</v>
      </c>
      <c r="I16">
        <f t="shared" si="0"/>
        <v>2.0725000000000002</v>
      </c>
      <c r="J16" t="s">
        <v>100</v>
      </c>
      <c r="K16">
        <v>1</v>
      </c>
      <c r="L16" t="s">
        <v>109</v>
      </c>
    </row>
    <row r="17" spans="1:12" ht="15" x14ac:dyDescent="0.25">
      <c r="A17" s="5">
        <v>45769</v>
      </c>
      <c r="B17" t="s">
        <v>32</v>
      </c>
      <c r="C17">
        <v>1.5</v>
      </c>
      <c r="D17" s="5">
        <v>46170</v>
      </c>
      <c r="E17">
        <v>1</v>
      </c>
      <c r="F17" t="s">
        <v>76</v>
      </c>
      <c r="G17">
        <v>10000000</v>
      </c>
      <c r="H17">
        <v>0.16</v>
      </c>
      <c r="I17">
        <f t="shared" si="0"/>
        <v>2.0125000000000002</v>
      </c>
      <c r="J17" t="s">
        <v>98</v>
      </c>
      <c r="K17">
        <v>1</v>
      </c>
      <c r="L17" t="s">
        <v>107</v>
      </c>
    </row>
    <row r="18" spans="1:12" ht="15" x14ac:dyDescent="0.25">
      <c r="A18" s="5">
        <v>45769</v>
      </c>
      <c r="B18" t="s">
        <v>32</v>
      </c>
      <c r="C18">
        <v>1.5</v>
      </c>
      <c r="D18" s="5">
        <v>46170</v>
      </c>
      <c r="E18">
        <v>1</v>
      </c>
      <c r="F18" t="s">
        <v>76</v>
      </c>
      <c r="G18">
        <v>10000000</v>
      </c>
      <c r="H18">
        <v>0.16</v>
      </c>
      <c r="I18">
        <f t="shared" si="0"/>
        <v>2.0125000000000002</v>
      </c>
      <c r="J18" t="s">
        <v>99</v>
      </c>
      <c r="K18">
        <v>1</v>
      </c>
      <c r="L18" t="s">
        <v>108</v>
      </c>
    </row>
    <row r="19" spans="1:12" ht="15" x14ac:dyDescent="0.25">
      <c r="A19" s="5">
        <v>45769</v>
      </c>
      <c r="B19" t="s">
        <v>32</v>
      </c>
      <c r="C19">
        <v>1.5</v>
      </c>
      <c r="D19" s="5">
        <v>46170</v>
      </c>
      <c r="E19">
        <v>1</v>
      </c>
      <c r="F19" t="s">
        <v>76</v>
      </c>
      <c r="G19">
        <v>10000000</v>
      </c>
      <c r="H19">
        <v>0.22</v>
      </c>
      <c r="I19">
        <f t="shared" si="0"/>
        <v>2.0725000000000002</v>
      </c>
      <c r="J19" t="s">
        <v>100</v>
      </c>
      <c r="K19">
        <v>1</v>
      </c>
      <c r="L19" t="s">
        <v>109</v>
      </c>
    </row>
    <row r="20" spans="1:12" ht="15" x14ac:dyDescent="0.25">
      <c r="A20" s="5">
        <v>45762</v>
      </c>
      <c r="B20" t="s">
        <v>44</v>
      </c>
      <c r="C20">
        <v>5</v>
      </c>
      <c r="D20" s="5">
        <v>46105</v>
      </c>
      <c r="E20">
        <v>1</v>
      </c>
      <c r="F20" t="s">
        <v>76</v>
      </c>
      <c r="G20">
        <v>1440000000000</v>
      </c>
      <c r="H20">
        <v>0.16</v>
      </c>
      <c r="I20">
        <f t="shared" si="0"/>
        <v>2.0125000000000002</v>
      </c>
      <c r="J20" t="s">
        <v>98</v>
      </c>
      <c r="K20">
        <v>1</v>
      </c>
      <c r="L20" t="s">
        <v>107</v>
      </c>
    </row>
    <row r="21" spans="1:12" ht="15" x14ac:dyDescent="0.25">
      <c r="A21" s="5">
        <v>45762</v>
      </c>
      <c r="B21" t="s">
        <v>44</v>
      </c>
      <c r="C21">
        <v>5</v>
      </c>
      <c r="D21" s="5">
        <v>46105</v>
      </c>
      <c r="E21">
        <v>1</v>
      </c>
      <c r="F21" t="s">
        <v>76</v>
      </c>
      <c r="G21">
        <v>1440000000000</v>
      </c>
      <c r="H21">
        <v>0.16</v>
      </c>
      <c r="I21">
        <f t="shared" si="0"/>
        <v>2.0125000000000002</v>
      </c>
      <c r="J21" t="s">
        <v>99</v>
      </c>
      <c r="K21">
        <v>1</v>
      </c>
      <c r="L21" t="s">
        <v>108</v>
      </c>
    </row>
    <row r="22" spans="1:12" ht="15" x14ac:dyDescent="0.25">
      <c r="A22" s="5">
        <v>45762</v>
      </c>
      <c r="B22" t="s">
        <v>44</v>
      </c>
      <c r="C22">
        <v>5</v>
      </c>
      <c r="D22" s="5">
        <v>46105</v>
      </c>
      <c r="E22">
        <v>1</v>
      </c>
      <c r="F22" t="s">
        <v>76</v>
      </c>
      <c r="G22">
        <v>1440000000000</v>
      </c>
      <c r="H22">
        <v>0.22</v>
      </c>
      <c r="I22">
        <f t="shared" si="0"/>
        <v>2.0725000000000002</v>
      </c>
      <c r="J22" t="s">
        <v>100</v>
      </c>
      <c r="K22">
        <v>1</v>
      </c>
      <c r="L22" t="s">
        <v>109</v>
      </c>
    </row>
    <row r="23" spans="1:12" ht="15" x14ac:dyDescent="0.25">
      <c r="A23" s="5">
        <v>45755</v>
      </c>
      <c r="B23" t="s">
        <v>9</v>
      </c>
      <c r="C23">
        <v>1.75</v>
      </c>
      <c r="D23" s="5">
        <v>46157</v>
      </c>
      <c r="E23">
        <v>1</v>
      </c>
      <c r="F23" t="s">
        <v>76</v>
      </c>
      <c r="G23">
        <v>100000000</v>
      </c>
      <c r="H23">
        <v>0.16</v>
      </c>
      <c r="I23">
        <f t="shared" si="0"/>
        <v>2.0125000000000002</v>
      </c>
      <c r="J23" t="s">
        <v>98</v>
      </c>
      <c r="K23">
        <v>1</v>
      </c>
      <c r="L23" t="s">
        <v>107</v>
      </c>
    </row>
    <row r="24" spans="1:12" ht="15" x14ac:dyDescent="0.25">
      <c r="A24" s="5">
        <v>45755</v>
      </c>
      <c r="B24" t="s">
        <v>9</v>
      </c>
      <c r="C24">
        <v>1.75</v>
      </c>
      <c r="D24" s="5">
        <v>46157</v>
      </c>
      <c r="E24">
        <v>1</v>
      </c>
      <c r="F24" t="s">
        <v>76</v>
      </c>
      <c r="G24">
        <v>100000000</v>
      </c>
      <c r="H24">
        <v>0.16</v>
      </c>
      <c r="I24">
        <f t="shared" si="0"/>
        <v>2.0125000000000002</v>
      </c>
      <c r="J24" t="s">
        <v>99</v>
      </c>
      <c r="K24">
        <v>1</v>
      </c>
      <c r="L24" t="s">
        <v>108</v>
      </c>
    </row>
    <row r="25" spans="1:12" ht="15" x14ac:dyDescent="0.25">
      <c r="A25" s="5">
        <v>45755</v>
      </c>
      <c r="B25" t="s">
        <v>9</v>
      </c>
      <c r="C25">
        <v>1.75</v>
      </c>
      <c r="D25" s="5">
        <v>46157</v>
      </c>
      <c r="E25">
        <v>1</v>
      </c>
      <c r="F25" t="s">
        <v>76</v>
      </c>
      <c r="G25">
        <v>100000000</v>
      </c>
      <c r="H25">
        <v>0.22</v>
      </c>
      <c r="I25">
        <f t="shared" si="0"/>
        <v>2.0725000000000002</v>
      </c>
      <c r="J25" t="s">
        <v>100</v>
      </c>
      <c r="K25">
        <v>1</v>
      </c>
      <c r="L25" t="s">
        <v>109</v>
      </c>
    </row>
    <row r="26" spans="1:12" ht="15" x14ac:dyDescent="0.25">
      <c r="A26" s="5">
        <v>45755</v>
      </c>
      <c r="B26" t="s">
        <v>9</v>
      </c>
      <c r="C26">
        <v>1.9</v>
      </c>
      <c r="D26" s="5">
        <v>45975</v>
      </c>
      <c r="E26">
        <v>1</v>
      </c>
      <c r="F26" t="s">
        <v>76</v>
      </c>
      <c r="G26">
        <v>150000000</v>
      </c>
      <c r="H26">
        <v>0.16</v>
      </c>
      <c r="I26">
        <f t="shared" si="0"/>
        <v>2.0125000000000002</v>
      </c>
      <c r="J26" t="s">
        <v>98</v>
      </c>
      <c r="K26">
        <v>1</v>
      </c>
      <c r="L26" t="s">
        <v>107</v>
      </c>
    </row>
    <row r="27" spans="1:12" ht="15" x14ac:dyDescent="0.25">
      <c r="A27" s="5">
        <v>45755</v>
      </c>
      <c r="B27" t="s">
        <v>9</v>
      </c>
      <c r="C27">
        <v>1.9</v>
      </c>
      <c r="D27" s="5">
        <v>45975</v>
      </c>
      <c r="E27">
        <v>1</v>
      </c>
      <c r="F27" t="s">
        <v>76</v>
      </c>
      <c r="G27">
        <v>150000000</v>
      </c>
      <c r="H27">
        <v>0.16</v>
      </c>
      <c r="I27">
        <f t="shared" si="0"/>
        <v>2.0125000000000002</v>
      </c>
      <c r="J27" t="s">
        <v>99</v>
      </c>
      <c r="K27">
        <v>1</v>
      </c>
      <c r="L27" t="s">
        <v>108</v>
      </c>
    </row>
    <row r="28" spans="1:12" ht="15" x14ac:dyDescent="0.25">
      <c r="A28" s="5">
        <v>45755</v>
      </c>
      <c r="B28" t="s">
        <v>9</v>
      </c>
      <c r="C28">
        <v>1.9</v>
      </c>
      <c r="D28" s="5">
        <v>45975</v>
      </c>
      <c r="E28">
        <v>1</v>
      </c>
      <c r="F28" t="s">
        <v>76</v>
      </c>
      <c r="G28">
        <v>150000000</v>
      </c>
      <c r="H28">
        <v>0.22</v>
      </c>
      <c r="I28">
        <f t="shared" si="0"/>
        <v>2.0725000000000002</v>
      </c>
      <c r="J28" t="s">
        <v>100</v>
      </c>
      <c r="K28">
        <v>1</v>
      </c>
      <c r="L28" t="s">
        <v>109</v>
      </c>
    </row>
    <row r="29" spans="1:12" ht="15" x14ac:dyDescent="0.25">
      <c r="A29" s="5">
        <v>45755</v>
      </c>
      <c r="B29" t="s">
        <v>9</v>
      </c>
      <c r="C29">
        <v>1.75</v>
      </c>
      <c r="D29" s="5">
        <v>46248</v>
      </c>
      <c r="E29">
        <v>1</v>
      </c>
      <c r="F29" t="s">
        <v>76</v>
      </c>
      <c r="G29">
        <v>100000000</v>
      </c>
      <c r="H29">
        <v>0.16</v>
      </c>
      <c r="I29">
        <f t="shared" si="0"/>
        <v>2.0125000000000002</v>
      </c>
      <c r="J29" t="s">
        <v>98</v>
      </c>
      <c r="K29">
        <v>1</v>
      </c>
      <c r="L29" t="s">
        <v>107</v>
      </c>
    </row>
    <row r="30" spans="1:12" ht="15" x14ac:dyDescent="0.25">
      <c r="A30" s="5">
        <v>45755</v>
      </c>
      <c r="B30" t="s">
        <v>9</v>
      </c>
      <c r="C30">
        <v>1.75</v>
      </c>
      <c r="D30" s="5">
        <v>46248</v>
      </c>
      <c r="E30">
        <v>1</v>
      </c>
      <c r="F30" t="s">
        <v>76</v>
      </c>
      <c r="G30">
        <v>100000000</v>
      </c>
      <c r="H30">
        <v>0.16</v>
      </c>
      <c r="I30">
        <f t="shared" si="0"/>
        <v>2.0125000000000002</v>
      </c>
      <c r="J30" t="s">
        <v>99</v>
      </c>
      <c r="K30">
        <v>1</v>
      </c>
      <c r="L30" t="s">
        <v>108</v>
      </c>
    </row>
    <row r="31" spans="1:12" ht="15" x14ac:dyDescent="0.25">
      <c r="A31" s="5">
        <v>45755</v>
      </c>
      <c r="B31" t="s">
        <v>9</v>
      </c>
      <c r="C31">
        <v>1.75</v>
      </c>
      <c r="D31" s="5">
        <v>46248</v>
      </c>
      <c r="E31">
        <v>1</v>
      </c>
      <c r="F31" t="s">
        <v>76</v>
      </c>
      <c r="G31">
        <v>100000000</v>
      </c>
      <c r="H31">
        <v>0.22</v>
      </c>
      <c r="I31">
        <f t="shared" si="0"/>
        <v>2.0725000000000002</v>
      </c>
      <c r="J31" t="s">
        <v>100</v>
      </c>
      <c r="K31">
        <v>1</v>
      </c>
      <c r="L31" t="s">
        <v>109</v>
      </c>
    </row>
    <row r="32" spans="1:12" ht="15" x14ac:dyDescent="0.25">
      <c r="A32" s="5">
        <v>45755</v>
      </c>
      <c r="B32" t="s">
        <v>56</v>
      </c>
      <c r="C32">
        <v>2.1</v>
      </c>
      <c r="D32" s="5">
        <v>45945</v>
      </c>
      <c r="E32">
        <v>1</v>
      </c>
      <c r="F32" t="s">
        <v>76</v>
      </c>
      <c r="G32">
        <v>50000000</v>
      </c>
      <c r="H32">
        <v>0.16</v>
      </c>
      <c r="I32">
        <f t="shared" si="0"/>
        <v>2.0125000000000002</v>
      </c>
      <c r="J32" t="s">
        <v>98</v>
      </c>
      <c r="K32">
        <v>1</v>
      </c>
      <c r="L32" t="s">
        <v>107</v>
      </c>
    </row>
    <row r="33" spans="1:12" ht="15" x14ac:dyDescent="0.25">
      <c r="A33" s="5">
        <v>45755</v>
      </c>
      <c r="B33" t="s">
        <v>56</v>
      </c>
      <c r="C33">
        <v>2.1</v>
      </c>
      <c r="D33" s="5">
        <v>45945</v>
      </c>
      <c r="E33">
        <v>1</v>
      </c>
      <c r="F33" t="s">
        <v>76</v>
      </c>
      <c r="G33">
        <v>50000000</v>
      </c>
      <c r="H33">
        <v>0.16</v>
      </c>
      <c r="I33">
        <f t="shared" si="0"/>
        <v>2.0125000000000002</v>
      </c>
      <c r="J33" t="s">
        <v>99</v>
      </c>
      <c r="K33">
        <v>1</v>
      </c>
      <c r="L33" t="s">
        <v>108</v>
      </c>
    </row>
    <row r="34" spans="1:12" ht="15" x14ac:dyDescent="0.25">
      <c r="A34" s="5">
        <v>45755</v>
      </c>
      <c r="B34" t="s">
        <v>56</v>
      </c>
      <c r="C34">
        <v>2.1</v>
      </c>
      <c r="D34" s="5">
        <v>45945</v>
      </c>
      <c r="E34">
        <v>1</v>
      </c>
      <c r="F34" t="s">
        <v>76</v>
      </c>
      <c r="G34">
        <v>50000000</v>
      </c>
      <c r="H34">
        <v>0.22</v>
      </c>
      <c r="I34">
        <f t="shared" si="0"/>
        <v>2.0725000000000002</v>
      </c>
      <c r="J34" t="s">
        <v>100</v>
      </c>
      <c r="K34">
        <v>1</v>
      </c>
      <c r="L34" t="s">
        <v>109</v>
      </c>
    </row>
    <row r="35" spans="1:12" ht="15" x14ac:dyDescent="0.25">
      <c r="A35" s="5">
        <v>45776</v>
      </c>
      <c r="B35" t="s">
        <v>9</v>
      </c>
      <c r="C35">
        <v>1.85</v>
      </c>
      <c r="D35" s="5">
        <v>46554</v>
      </c>
      <c r="E35">
        <v>2</v>
      </c>
      <c r="F35" t="s">
        <v>76</v>
      </c>
      <c r="G35">
        <v>100000000</v>
      </c>
      <c r="H35">
        <v>0.31</v>
      </c>
      <c r="I35">
        <f>H35+1.8444</f>
        <v>2.1543999999999999</v>
      </c>
      <c r="J35" t="s">
        <v>101</v>
      </c>
      <c r="K35">
        <v>2</v>
      </c>
      <c r="L35" t="s">
        <v>107</v>
      </c>
    </row>
    <row r="36" spans="1:12" ht="15" x14ac:dyDescent="0.25">
      <c r="A36" s="5">
        <v>45776</v>
      </c>
      <c r="B36" t="s">
        <v>9</v>
      </c>
      <c r="C36">
        <v>1.85</v>
      </c>
      <c r="D36" s="5">
        <v>46554</v>
      </c>
      <c r="E36">
        <v>2</v>
      </c>
      <c r="F36" t="s">
        <v>76</v>
      </c>
      <c r="G36">
        <v>100000000</v>
      </c>
      <c r="H36">
        <v>0.31</v>
      </c>
      <c r="I36">
        <f t="shared" ref="I36:I82" si="1">H36+1.8444</f>
        <v>2.1543999999999999</v>
      </c>
      <c r="J36" t="s">
        <v>102</v>
      </c>
      <c r="K36">
        <v>2</v>
      </c>
      <c r="L36" t="s">
        <v>108</v>
      </c>
    </row>
    <row r="37" spans="1:12" ht="15" x14ac:dyDescent="0.25">
      <c r="A37" s="5">
        <v>45776</v>
      </c>
      <c r="B37" t="s">
        <v>9</v>
      </c>
      <c r="C37">
        <v>1.85</v>
      </c>
      <c r="D37" s="5">
        <v>46554</v>
      </c>
      <c r="E37">
        <v>2</v>
      </c>
      <c r="F37" t="s">
        <v>76</v>
      </c>
      <c r="G37">
        <v>100000000</v>
      </c>
      <c r="H37">
        <v>0.43</v>
      </c>
      <c r="I37">
        <f t="shared" si="1"/>
        <v>2.2744</v>
      </c>
      <c r="J37" t="s">
        <v>103</v>
      </c>
      <c r="K37">
        <v>2</v>
      </c>
      <c r="L37" t="s">
        <v>109</v>
      </c>
    </row>
    <row r="38" spans="1:12" ht="15" x14ac:dyDescent="0.25">
      <c r="A38" s="5">
        <v>45772</v>
      </c>
      <c r="B38" t="s">
        <v>28</v>
      </c>
      <c r="C38">
        <v>4</v>
      </c>
      <c r="D38" s="5">
        <v>46569</v>
      </c>
      <c r="E38">
        <v>2</v>
      </c>
      <c r="F38" t="s">
        <v>76</v>
      </c>
      <c r="G38">
        <v>30000000</v>
      </c>
      <c r="H38">
        <v>0.31</v>
      </c>
      <c r="I38">
        <f t="shared" si="1"/>
        <v>2.1543999999999999</v>
      </c>
      <c r="J38" t="s">
        <v>101</v>
      </c>
      <c r="K38">
        <v>2</v>
      </c>
      <c r="L38" t="s">
        <v>107</v>
      </c>
    </row>
    <row r="39" spans="1:12" ht="15" x14ac:dyDescent="0.25">
      <c r="A39" s="5">
        <v>45772</v>
      </c>
      <c r="B39" t="s">
        <v>28</v>
      </c>
      <c r="C39">
        <v>4</v>
      </c>
      <c r="D39" s="5">
        <v>46569</v>
      </c>
      <c r="E39">
        <v>2</v>
      </c>
      <c r="F39" t="s">
        <v>76</v>
      </c>
      <c r="G39">
        <v>30000000</v>
      </c>
      <c r="H39">
        <v>0.31</v>
      </c>
      <c r="I39">
        <f t="shared" si="1"/>
        <v>2.1543999999999999</v>
      </c>
      <c r="J39" t="s">
        <v>102</v>
      </c>
      <c r="K39">
        <v>2</v>
      </c>
      <c r="L39" t="s">
        <v>108</v>
      </c>
    </row>
    <row r="40" spans="1:12" ht="15" x14ac:dyDescent="0.25">
      <c r="A40" s="5">
        <v>45772</v>
      </c>
      <c r="B40" t="s">
        <v>28</v>
      </c>
      <c r="C40">
        <v>4</v>
      </c>
      <c r="D40" s="5">
        <v>46569</v>
      </c>
      <c r="E40">
        <v>2</v>
      </c>
      <c r="F40" t="s">
        <v>76</v>
      </c>
      <c r="G40">
        <v>30000000</v>
      </c>
      <c r="H40">
        <v>0.43</v>
      </c>
      <c r="I40">
        <f t="shared" si="1"/>
        <v>2.2744</v>
      </c>
      <c r="J40" t="s">
        <v>103</v>
      </c>
      <c r="K40">
        <v>2</v>
      </c>
      <c r="L40" t="s">
        <v>109</v>
      </c>
    </row>
    <row r="41" spans="1:12" ht="15" x14ac:dyDescent="0.25">
      <c r="A41" s="5">
        <v>45771</v>
      </c>
      <c r="B41" t="s">
        <v>30</v>
      </c>
      <c r="C41">
        <v>2.875</v>
      </c>
      <c r="D41" s="5">
        <v>46476</v>
      </c>
      <c r="E41">
        <v>2</v>
      </c>
      <c r="F41" t="s">
        <v>76</v>
      </c>
      <c r="G41">
        <v>4.2005E+16</v>
      </c>
      <c r="H41">
        <v>0.31</v>
      </c>
      <c r="I41">
        <f t="shared" si="1"/>
        <v>2.1543999999999999</v>
      </c>
      <c r="J41" t="s">
        <v>101</v>
      </c>
      <c r="K41">
        <v>2</v>
      </c>
      <c r="L41" t="s">
        <v>107</v>
      </c>
    </row>
    <row r="42" spans="1:12" ht="15" x14ac:dyDescent="0.25">
      <c r="A42" s="5">
        <v>45771</v>
      </c>
      <c r="B42" t="s">
        <v>30</v>
      </c>
      <c r="C42">
        <v>2.875</v>
      </c>
      <c r="D42" s="5">
        <v>46476</v>
      </c>
      <c r="E42">
        <v>2</v>
      </c>
      <c r="F42" t="s">
        <v>76</v>
      </c>
      <c r="G42">
        <v>4.2005E+16</v>
      </c>
      <c r="H42">
        <v>0.31</v>
      </c>
      <c r="I42">
        <f t="shared" si="1"/>
        <v>2.1543999999999999</v>
      </c>
      <c r="J42" t="s">
        <v>102</v>
      </c>
      <c r="K42">
        <v>2</v>
      </c>
      <c r="L42" t="s">
        <v>108</v>
      </c>
    </row>
    <row r="43" spans="1:12" ht="15" x14ac:dyDescent="0.25">
      <c r="A43" s="5">
        <v>45771</v>
      </c>
      <c r="B43" t="s">
        <v>30</v>
      </c>
      <c r="C43">
        <v>2.875</v>
      </c>
      <c r="D43" s="5">
        <v>46476</v>
      </c>
      <c r="E43">
        <v>2</v>
      </c>
      <c r="F43" t="s">
        <v>76</v>
      </c>
      <c r="G43">
        <v>4.2005E+16</v>
      </c>
      <c r="H43">
        <v>0.43</v>
      </c>
      <c r="I43">
        <f t="shared" si="1"/>
        <v>2.2744</v>
      </c>
      <c r="J43" t="s">
        <v>103</v>
      </c>
      <c r="K43">
        <v>2</v>
      </c>
      <c r="L43" t="s">
        <v>109</v>
      </c>
    </row>
    <row r="44" spans="1:12" ht="15" x14ac:dyDescent="0.25">
      <c r="A44" s="5">
        <v>45771</v>
      </c>
      <c r="B44" t="s">
        <v>21</v>
      </c>
      <c r="C44">
        <v>2.5499999999999998</v>
      </c>
      <c r="D44" s="5">
        <v>46443</v>
      </c>
      <c r="E44">
        <v>2</v>
      </c>
      <c r="F44" t="s">
        <v>76</v>
      </c>
      <c r="G44">
        <v>4.5761E+16</v>
      </c>
      <c r="H44">
        <v>0.31</v>
      </c>
      <c r="I44">
        <f t="shared" si="1"/>
        <v>2.1543999999999999</v>
      </c>
      <c r="J44" t="s">
        <v>101</v>
      </c>
      <c r="K44">
        <v>2</v>
      </c>
      <c r="L44" t="s">
        <v>107</v>
      </c>
    </row>
    <row r="45" spans="1:12" ht="15" x14ac:dyDescent="0.25">
      <c r="A45" s="5">
        <v>45771</v>
      </c>
      <c r="B45" t="s">
        <v>21</v>
      </c>
      <c r="C45">
        <v>2.5499999999999998</v>
      </c>
      <c r="D45" s="5">
        <v>46443</v>
      </c>
      <c r="E45">
        <v>2</v>
      </c>
      <c r="F45" t="s">
        <v>76</v>
      </c>
      <c r="G45">
        <v>4.5761E+16</v>
      </c>
      <c r="H45">
        <v>0.31</v>
      </c>
      <c r="I45">
        <f t="shared" si="1"/>
        <v>2.1543999999999999</v>
      </c>
      <c r="J45" t="s">
        <v>102</v>
      </c>
      <c r="K45">
        <v>2</v>
      </c>
      <c r="L45" t="s">
        <v>108</v>
      </c>
    </row>
    <row r="46" spans="1:12" ht="15" x14ac:dyDescent="0.25">
      <c r="A46" s="5">
        <v>45771</v>
      </c>
      <c r="B46" t="s">
        <v>21</v>
      </c>
      <c r="C46">
        <v>2.5499999999999998</v>
      </c>
      <c r="D46" s="5">
        <v>46443</v>
      </c>
      <c r="E46">
        <v>2</v>
      </c>
      <c r="F46" t="s">
        <v>76</v>
      </c>
      <c r="G46">
        <v>4.5761E+16</v>
      </c>
      <c r="H46">
        <v>0.43</v>
      </c>
      <c r="I46">
        <f t="shared" si="1"/>
        <v>2.2744</v>
      </c>
      <c r="J46" t="s">
        <v>103</v>
      </c>
      <c r="K46">
        <v>2</v>
      </c>
      <c r="L46" t="s">
        <v>109</v>
      </c>
    </row>
    <row r="47" spans="1:12" ht="15" x14ac:dyDescent="0.25">
      <c r="A47" s="5">
        <v>45770</v>
      </c>
      <c r="B47" t="s">
        <v>30</v>
      </c>
      <c r="C47">
        <v>0.625</v>
      </c>
      <c r="D47" s="5">
        <v>46441</v>
      </c>
      <c r="E47">
        <v>2</v>
      </c>
      <c r="F47" t="s">
        <v>76</v>
      </c>
      <c r="G47">
        <v>4.5778E+16</v>
      </c>
      <c r="H47">
        <v>0.31</v>
      </c>
      <c r="I47">
        <f t="shared" si="1"/>
        <v>2.1543999999999999</v>
      </c>
      <c r="J47" t="s">
        <v>101</v>
      </c>
      <c r="K47">
        <v>2</v>
      </c>
      <c r="L47" t="s">
        <v>107</v>
      </c>
    </row>
    <row r="48" spans="1:12" ht="15" x14ac:dyDescent="0.25">
      <c r="A48" s="5">
        <v>45770</v>
      </c>
      <c r="B48" t="s">
        <v>30</v>
      </c>
      <c r="C48">
        <v>0.625</v>
      </c>
      <c r="D48" s="5">
        <v>46441</v>
      </c>
      <c r="E48">
        <v>2</v>
      </c>
      <c r="F48" t="s">
        <v>76</v>
      </c>
      <c r="G48">
        <v>4.5778E+16</v>
      </c>
      <c r="H48">
        <v>0.31</v>
      </c>
      <c r="I48">
        <f t="shared" si="1"/>
        <v>2.1543999999999999</v>
      </c>
      <c r="J48" t="s">
        <v>102</v>
      </c>
      <c r="K48">
        <v>2</v>
      </c>
      <c r="L48" t="s">
        <v>108</v>
      </c>
    </row>
    <row r="49" spans="1:12" ht="15" x14ac:dyDescent="0.25">
      <c r="A49" s="5">
        <v>45770</v>
      </c>
      <c r="B49" t="s">
        <v>30</v>
      </c>
      <c r="C49">
        <v>0.625</v>
      </c>
      <c r="D49" s="5">
        <v>46441</v>
      </c>
      <c r="E49">
        <v>2</v>
      </c>
      <c r="F49" t="s">
        <v>76</v>
      </c>
      <c r="G49">
        <v>4.5778E+16</v>
      </c>
      <c r="H49">
        <v>0.43</v>
      </c>
      <c r="I49">
        <f t="shared" si="1"/>
        <v>2.2744</v>
      </c>
      <c r="J49" t="s">
        <v>103</v>
      </c>
      <c r="K49">
        <v>2</v>
      </c>
      <c r="L49" t="s">
        <v>109</v>
      </c>
    </row>
    <row r="50" spans="1:12" ht="15" x14ac:dyDescent="0.25">
      <c r="A50" s="5">
        <v>45770</v>
      </c>
      <c r="B50" t="s">
        <v>32</v>
      </c>
      <c r="C50">
        <v>1.85</v>
      </c>
      <c r="D50" s="5">
        <v>46535</v>
      </c>
      <c r="E50">
        <v>2</v>
      </c>
      <c r="F50" t="s">
        <v>76</v>
      </c>
      <c r="G50">
        <v>20000000</v>
      </c>
      <c r="H50">
        <v>0.31</v>
      </c>
      <c r="I50">
        <f t="shared" si="1"/>
        <v>2.1543999999999999</v>
      </c>
      <c r="J50" t="s">
        <v>101</v>
      </c>
      <c r="K50">
        <v>2</v>
      </c>
      <c r="L50" t="s">
        <v>107</v>
      </c>
    </row>
    <row r="51" spans="1:12" ht="15" x14ac:dyDescent="0.25">
      <c r="A51" s="5">
        <v>45770</v>
      </c>
      <c r="B51" t="s">
        <v>32</v>
      </c>
      <c r="C51">
        <v>1.85</v>
      </c>
      <c r="D51" s="5">
        <v>46535</v>
      </c>
      <c r="E51">
        <v>2</v>
      </c>
      <c r="F51" t="s">
        <v>76</v>
      </c>
      <c r="G51">
        <v>20000000</v>
      </c>
      <c r="H51">
        <v>0.31</v>
      </c>
      <c r="I51">
        <f t="shared" si="1"/>
        <v>2.1543999999999999</v>
      </c>
      <c r="J51" t="s">
        <v>102</v>
      </c>
      <c r="K51">
        <v>2</v>
      </c>
      <c r="L51" t="s">
        <v>108</v>
      </c>
    </row>
    <row r="52" spans="1:12" ht="15" x14ac:dyDescent="0.25">
      <c r="A52" s="5">
        <v>45770</v>
      </c>
      <c r="B52" t="s">
        <v>32</v>
      </c>
      <c r="C52">
        <v>1.85</v>
      </c>
      <c r="D52" s="5">
        <v>46535</v>
      </c>
      <c r="E52">
        <v>2</v>
      </c>
      <c r="F52" t="s">
        <v>76</v>
      </c>
      <c r="G52">
        <v>20000000</v>
      </c>
      <c r="H52">
        <v>0.43</v>
      </c>
      <c r="I52">
        <f t="shared" si="1"/>
        <v>2.2744</v>
      </c>
      <c r="J52" t="s">
        <v>103</v>
      </c>
      <c r="K52">
        <v>2</v>
      </c>
      <c r="L52" t="s">
        <v>109</v>
      </c>
    </row>
    <row r="53" spans="1:12" ht="15" x14ac:dyDescent="0.25">
      <c r="A53" s="5">
        <v>45769</v>
      </c>
      <c r="B53" t="s">
        <v>36</v>
      </c>
      <c r="C53">
        <v>3.25</v>
      </c>
      <c r="D53" s="5">
        <v>46512</v>
      </c>
      <c r="E53">
        <v>2</v>
      </c>
      <c r="F53" t="s">
        <v>76</v>
      </c>
      <c r="G53">
        <v>5000000</v>
      </c>
      <c r="H53">
        <v>0.31</v>
      </c>
      <c r="I53">
        <f t="shared" si="1"/>
        <v>2.1543999999999999</v>
      </c>
      <c r="J53" t="s">
        <v>101</v>
      </c>
      <c r="K53">
        <v>2</v>
      </c>
      <c r="L53" t="s">
        <v>107</v>
      </c>
    </row>
    <row r="54" spans="1:12" ht="15" x14ac:dyDescent="0.25">
      <c r="A54" s="5">
        <v>45769</v>
      </c>
      <c r="B54" t="s">
        <v>36</v>
      </c>
      <c r="C54">
        <v>3.25</v>
      </c>
      <c r="D54" s="5">
        <v>46512</v>
      </c>
      <c r="E54">
        <v>2</v>
      </c>
      <c r="F54" t="s">
        <v>76</v>
      </c>
      <c r="G54">
        <v>5000000</v>
      </c>
      <c r="H54">
        <v>0.31</v>
      </c>
      <c r="I54">
        <f t="shared" si="1"/>
        <v>2.1543999999999999</v>
      </c>
      <c r="J54" t="s">
        <v>102</v>
      </c>
      <c r="K54">
        <v>2</v>
      </c>
      <c r="L54" t="s">
        <v>108</v>
      </c>
    </row>
    <row r="55" spans="1:12" ht="15" x14ac:dyDescent="0.25">
      <c r="A55" s="5">
        <v>45769</v>
      </c>
      <c r="B55" t="s">
        <v>36</v>
      </c>
      <c r="C55">
        <v>3.25</v>
      </c>
      <c r="D55" s="5">
        <v>46512</v>
      </c>
      <c r="E55">
        <v>2</v>
      </c>
      <c r="F55" t="s">
        <v>76</v>
      </c>
      <c r="G55">
        <v>5000000</v>
      </c>
      <c r="H55">
        <v>0.43</v>
      </c>
      <c r="I55">
        <f t="shared" si="1"/>
        <v>2.2744</v>
      </c>
      <c r="J55" t="s">
        <v>103</v>
      </c>
      <c r="K55">
        <v>2</v>
      </c>
      <c r="L55" t="s">
        <v>109</v>
      </c>
    </row>
    <row r="56" spans="1:12" ht="15" x14ac:dyDescent="0.25">
      <c r="A56" s="5">
        <v>45762</v>
      </c>
      <c r="B56" t="s">
        <v>44</v>
      </c>
      <c r="C56">
        <v>5</v>
      </c>
      <c r="D56" s="5">
        <v>46356</v>
      </c>
      <c r="E56">
        <v>2</v>
      </c>
      <c r="F56" t="s">
        <v>76</v>
      </c>
      <c r="G56">
        <v>2450000000000</v>
      </c>
      <c r="H56">
        <v>0.31</v>
      </c>
      <c r="I56">
        <f t="shared" si="1"/>
        <v>2.1543999999999999</v>
      </c>
      <c r="J56" t="s">
        <v>101</v>
      </c>
      <c r="K56">
        <v>2</v>
      </c>
      <c r="L56" t="s">
        <v>107</v>
      </c>
    </row>
    <row r="57" spans="1:12" ht="15" x14ac:dyDescent="0.25">
      <c r="A57" s="5">
        <v>45762</v>
      </c>
      <c r="B57" t="s">
        <v>44</v>
      </c>
      <c r="C57">
        <v>5</v>
      </c>
      <c r="D57" s="5">
        <v>46356</v>
      </c>
      <c r="E57">
        <v>2</v>
      </c>
      <c r="F57" t="s">
        <v>76</v>
      </c>
      <c r="G57">
        <v>2450000000000</v>
      </c>
      <c r="H57">
        <v>0.31</v>
      </c>
      <c r="I57">
        <f t="shared" si="1"/>
        <v>2.1543999999999999</v>
      </c>
      <c r="J57" t="s">
        <v>102</v>
      </c>
      <c r="K57">
        <v>2</v>
      </c>
      <c r="L57" t="s">
        <v>108</v>
      </c>
    </row>
    <row r="58" spans="1:12" ht="15" x14ac:dyDescent="0.25">
      <c r="A58" s="5">
        <v>45762</v>
      </c>
      <c r="B58" t="s">
        <v>44</v>
      </c>
      <c r="C58">
        <v>5</v>
      </c>
      <c r="D58" s="5">
        <v>46356</v>
      </c>
      <c r="E58">
        <v>2</v>
      </c>
      <c r="F58" t="s">
        <v>76</v>
      </c>
      <c r="G58">
        <v>2450000000000</v>
      </c>
      <c r="H58">
        <v>0.43</v>
      </c>
      <c r="I58">
        <f t="shared" si="1"/>
        <v>2.2744</v>
      </c>
      <c r="J58" t="s">
        <v>103</v>
      </c>
      <c r="K58">
        <v>2</v>
      </c>
      <c r="L58" t="s">
        <v>109</v>
      </c>
    </row>
    <row r="59" spans="1:12" ht="15" x14ac:dyDescent="0.25">
      <c r="A59" s="5">
        <v>45762</v>
      </c>
      <c r="B59" t="s">
        <v>9</v>
      </c>
      <c r="C59">
        <v>2.23</v>
      </c>
      <c r="D59" s="5">
        <v>46503</v>
      </c>
      <c r="E59">
        <v>2</v>
      </c>
      <c r="F59" t="s">
        <v>76</v>
      </c>
      <c r="G59">
        <v>100000000</v>
      </c>
      <c r="H59">
        <v>0.31</v>
      </c>
      <c r="I59">
        <f t="shared" si="1"/>
        <v>2.1543999999999999</v>
      </c>
      <c r="J59" t="s">
        <v>101</v>
      </c>
      <c r="K59">
        <v>2</v>
      </c>
      <c r="L59" t="s">
        <v>107</v>
      </c>
    </row>
    <row r="60" spans="1:12" ht="15" x14ac:dyDescent="0.25">
      <c r="A60" s="5">
        <v>45762</v>
      </c>
      <c r="B60" t="s">
        <v>9</v>
      </c>
      <c r="C60">
        <v>2.23</v>
      </c>
      <c r="D60" s="5">
        <v>46503</v>
      </c>
      <c r="E60">
        <v>2</v>
      </c>
      <c r="F60" t="s">
        <v>76</v>
      </c>
      <c r="G60">
        <v>100000000</v>
      </c>
      <c r="H60">
        <v>0.31</v>
      </c>
      <c r="I60">
        <f t="shared" si="1"/>
        <v>2.1543999999999999</v>
      </c>
      <c r="J60" t="s">
        <v>102</v>
      </c>
      <c r="K60">
        <v>2</v>
      </c>
      <c r="L60" t="s">
        <v>108</v>
      </c>
    </row>
    <row r="61" spans="1:12" ht="15" x14ac:dyDescent="0.25">
      <c r="A61" s="5">
        <v>45762</v>
      </c>
      <c r="B61" t="s">
        <v>9</v>
      </c>
      <c r="C61">
        <v>2.23</v>
      </c>
      <c r="D61" s="5">
        <v>46503</v>
      </c>
      <c r="E61">
        <v>2</v>
      </c>
      <c r="F61" t="s">
        <v>76</v>
      </c>
      <c r="G61">
        <v>100000000</v>
      </c>
      <c r="H61">
        <v>0.43</v>
      </c>
      <c r="I61">
        <f t="shared" si="1"/>
        <v>2.2744</v>
      </c>
      <c r="J61" t="s">
        <v>103</v>
      </c>
      <c r="K61">
        <v>2</v>
      </c>
      <c r="L61" t="s">
        <v>109</v>
      </c>
    </row>
    <row r="62" spans="1:12" ht="15" x14ac:dyDescent="0.25">
      <c r="A62" s="5">
        <v>45756</v>
      </c>
      <c r="B62" t="s">
        <v>32</v>
      </c>
      <c r="C62">
        <v>2</v>
      </c>
      <c r="D62" s="5">
        <v>46519</v>
      </c>
      <c r="E62">
        <v>2</v>
      </c>
      <c r="F62" t="s">
        <v>76</v>
      </c>
      <c r="G62">
        <v>20000000</v>
      </c>
      <c r="H62">
        <v>0.31</v>
      </c>
      <c r="I62">
        <f t="shared" si="1"/>
        <v>2.1543999999999999</v>
      </c>
      <c r="J62" t="s">
        <v>101</v>
      </c>
      <c r="K62">
        <v>2</v>
      </c>
      <c r="L62" t="s">
        <v>107</v>
      </c>
    </row>
    <row r="63" spans="1:12" ht="15" x14ac:dyDescent="0.25">
      <c r="A63" s="5">
        <v>45756</v>
      </c>
      <c r="B63" t="s">
        <v>32</v>
      </c>
      <c r="C63">
        <v>2</v>
      </c>
      <c r="D63" s="5">
        <v>46519</v>
      </c>
      <c r="E63">
        <v>2</v>
      </c>
      <c r="F63" t="s">
        <v>76</v>
      </c>
      <c r="G63">
        <v>20000000</v>
      </c>
      <c r="H63">
        <v>0.31</v>
      </c>
      <c r="I63">
        <f t="shared" si="1"/>
        <v>2.1543999999999999</v>
      </c>
      <c r="J63" t="s">
        <v>102</v>
      </c>
      <c r="K63">
        <v>2</v>
      </c>
      <c r="L63" t="s">
        <v>108</v>
      </c>
    </row>
    <row r="64" spans="1:12" ht="15" x14ac:dyDescent="0.25">
      <c r="A64" s="5">
        <v>45756</v>
      </c>
      <c r="B64" t="s">
        <v>32</v>
      </c>
      <c r="C64">
        <v>2</v>
      </c>
      <c r="D64" s="5">
        <v>46519</v>
      </c>
      <c r="E64">
        <v>2</v>
      </c>
      <c r="F64" t="s">
        <v>76</v>
      </c>
      <c r="G64">
        <v>20000000</v>
      </c>
      <c r="H64">
        <v>0.43</v>
      </c>
      <c r="I64">
        <f t="shared" si="1"/>
        <v>2.2744</v>
      </c>
      <c r="J64" t="s">
        <v>103</v>
      </c>
      <c r="K64">
        <v>2</v>
      </c>
      <c r="L64" t="s">
        <v>109</v>
      </c>
    </row>
    <row r="65" spans="1:12" ht="15" x14ac:dyDescent="0.25">
      <c r="A65" s="5">
        <v>45756</v>
      </c>
      <c r="B65" t="s">
        <v>32</v>
      </c>
      <c r="C65">
        <v>1.85</v>
      </c>
      <c r="D65" s="5">
        <v>46519</v>
      </c>
      <c r="E65">
        <v>2</v>
      </c>
      <c r="F65" t="s">
        <v>76</v>
      </c>
      <c r="G65">
        <v>20000000</v>
      </c>
      <c r="H65">
        <v>0.31</v>
      </c>
      <c r="I65">
        <f t="shared" si="1"/>
        <v>2.1543999999999999</v>
      </c>
      <c r="J65" t="s">
        <v>101</v>
      </c>
      <c r="K65">
        <v>2</v>
      </c>
      <c r="L65" t="s">
        <v>107</v>
      </c>
    </row>
    <row r="66" spans="1:12" ht="15" x14ac:dyDescent="0.25">
      <c r="A66" s="5">
        <v>45756</v>
      </c>
      <c r="B66" t="s">
        <v>32</v>
      </c>
      <c r="C66">
        <v>1.85</v>
      </c>
      <c r="D66" s="5">
        <v>46519</v>
      </c>
      <c r="E66">
        <v>2</v>
      </c>
      <c r="F66" t="s">
        <v>76</v>
      </c>
      <c r="G66">
        <v>20000000</v>
      </c>
      <c r="H66">
        <v>0.31</v>
      </c>
      <c r="I66">
        <f t="shared" si="1"/>
        <v>2.1543999999999999</v>
      </c>
      <c r="J66" t="s">
        <v>102</v>
      </c>
      <c r="K66">
        <v>2</v>
      </c>
      <c r="L66" t="s">
        <v>108</v>
      </c>
    </row>
    <row r="67" spans="1:12" ht="15" x14ac:dyDescent="0.25">
      <c r="A67" s="5">
        <v>45756</v>
      </c>
      <c r="B67" t="s">
        <v>32</v>
      </c>
      <c r="C67">
        <v>1.85</v>
      </c>
      <c r="D67" s="5">
        <v>46519</v>
      </c>
      <c r="E67">
        <v>2</v>
      </c>
      <c r="F67" t="s">
        <v>76</v>
      </c>
      <c r="G67">
        <v>20000000</v>
      </c>
      <c r="H67">
        <v>0.43</v>
      </c>
      <c r="I67">
        <f t="shared" si="1"/>
        <v>2.2744</v>
      </c>
      <c r="J67" t="s">
        <v>103</v>
      </c>
      <c r="K67">
        <v>2</v>
      </c>
      <c r="L67" t="s">
        <v>109</v>
      </c>
    </row>
    <row r="68" spans="1:12" ht="15" x14ac:dyDescent="0.25">
      <c r="A68" s="5">
        <v>45756</v>
      </c>
      <c r="B68" t="s">
        <v>50</v>
      </c>
      <c r="C68">
        <v>2.25</v>
      </c>
      <c r="D68" s="5">
        <v>46660</v>
      </c>
      <c r="E68">
        <v>2</v>
      </c>
      <c r="F68" t="s">
        <v>76</v>
      </c>
      <c r="G68">
        <v>20000000</v>
      </c>
      <c r="H68">
        <v>0.31</v>
      </c>
      <c r="I68">
        <f t="shared" si="1"/>
        <v>2.1543999999999999</v>
      </c>
      <c r="J68" t="s">
        <v>101</v>
      </c>
      <c r="K68">
        <v>2</v>
      </c>
      <c r="L68" t="s">
        <v>107</v>
      </c>
    </row>
    <row r="69" spans="1:12" ht="15" x14ac:dyDescent="0.25">
      <c r="A69" s="5">
        <v>45756</v>
      </c>
      <c r="B69" t="s">
        <v>50</v>
      </c>
      <c r="C69">
        <v>2.25</v>
      </c>
      <c r="D69" s="5">
        <v>46660</v>
      </c>
      <c r="E69">
        <v>2</v>
      </c>
      <c r="F69" t="s">
        <v>76</v>
      </c>
      <c r="G69">
        <v>20000000</v>
      </c>
      <c r="H69">
        <v>0.31</v>
      </c>
      <c r="I69">
        <f t="shared" si="1"/>
        <v>2.1543999999999999</v>
      </c>
      <c r="J69" t="s">
        <v>102</v>
      </c>
      <c r="K69">
        <v>2</v>
      </c>
      <c r="L69" t="s">
        <v>108</v>
      </c>
    </row>
    <row r="70" spans="1:12" ht="15" x14ac:dyDescent="0.25">
      <c r="A70" s="5">
        <v>45756</v>
      </c>
      <c r="B70" t="s">
        <v>50</v>
      </c>
      <c r="C70">
        <v>2.25</v>
      </c>
      <c r="D70" s="5">
        <v>46660</v>
      </c>
      <c r="E70">
        <v>2</v>
      </c>
      <c r="F70" t="s">
        <v>76</v>
      </c>
      <c r="G70">
        <v>20000000</v>
      </c>
      <c r="H70">
        <v>0.43</v>
      </c>
      <c r="I70">
        <f t="shared" si="1"/>
        <v>2.2744</v>
      </c>
      <c r="J70" t="s">
        <v>103</v>
      </c>
      <c r="K70">
        <v>2</v>
      </c>
      <c r="L70" t="s">
        <v>109</v>
      </c>
    </row>
    <row r="71" spans="1:12" ht="15" x14ac:dyDescent="0.25">
      <c r="A71" s="5">
        <v>45755</v>
      </c>
      <c r="B71" t="s">
        <v>9</v>
      </c>
      <c r="C71">
        <v>1.9</v>
      </c>
      <c r="D71" s="5">
        <v>46521</v>
      </c>
      <c r="E71">
        <v>2</v>
      </c>
      <c r="F71" t="s">
        <v>76</v>
      </c>
      <c r="G71">
        <v>100000000</v>
      </c>
      <c r="H71">
        <v>0.31</v>
      </c>
      <c r="I71">
        <f t="shared" si="1"/>
        <v>2.1543999999999999</v>
      </c>
      <c r="J71" t="s">
        <v>101</v>
      </c>
      <c r="K71">
        <v>2</v>
      </c>
      <c r="L71" t="s">
        <v>107</v>
      </c>
    </row>
    <row r="72" spans="1:12" ht="15" x14ac:dyDescent="0.25">
      <c r="A72" s="5">
        <v>45755</v>
      </c>
      <c r="B72" t="s">
        <v>9</v>
      </c>
      <c r="C72">
        <v>1.9</v>
      </c>
      <c r="D72" s="5">
        <v>46521</v>
      </c>
      <c r="E72">
        <v>2</v>
      </c>
      <c r="F72" t="s">
        <v>76</v>
      </c>
      <c r="G72">
        <v>100000000</v>
      </c>
      <c r="H72">
        <v>0.31</v>
      </c>
      <c r="I72">
        <f t="shared" si="1"/>
        <v>2.1543999999999999</v>
      </c>
      <c r="J72" t="s">
        <v>102</v>
      </c>
      <c r="K72">
        <v>2</v>
      </c>
      <c r="L72" t="s">
        <v>108</v>
      </c>
    </row>
    <row r="73" spans="1:12" ht="15" x14ac:dyDescent="0.25">
      <c r="A73" s="5">
        <v>45755</v>
      </c>
      <c r="B73" t="s">
        <v>9</v>
      </c>
      <c r="C73">
        <v>1.9</v>
      </c>
      <c r="D73" s="5">
        <v>46521</v>
      </c>
      <c r="E73">
        <v>2</v>
      </c>
      <c r="F73" t="s">
        <v>76</v>
      </c>
      <c r="G73">
        <v>100000000</v>
      </c>
      <c r="H73">
        <v>0.43</v>
      </c>
      <c r="I73">
        <f t="shared" si="1"/>
        <v>2.2744</v>
      </c>
      <c r="J73" t="s">
        <v>103</v>
      </c>
      <c r="K73">
        <v>2</v>
      </c>
      <c r="L73" t="s">
        <v>109</v>
      </c>
    </row>
    <row r="74" spans="1:12" ht="15" x14ac:dyDescent="0.25">
      <c r="A74" s="5">
        <v>45750</v>
      </c>
      <c r="B74" t="s">
        <v>48</v>
      </c>
      <c r="C74">
        <v>0.5</v>
      </c>
      <c r="D74" s="5">
        <v>46645</v>
      </c>
      <c r="E74">
        <v>2</v>
      </c>
      <c r="F74" t="s">
        <v>76</v>
      </c>
      <c r="G74">
        <v>6910000000000</v>
      </c>
      <c r="H74">
        <v>0.31</v>
      </c>
      <c r="I74">
        <f t="shared" si="1"/>
        <v>2.1543999999999999</v>
      </c>
      <c r="J74" t="s">
        <v>101</v>
      </c>
      <c r="K74">
        <v>2</v>
      </c>
      <c r="L74" t="s">
        <v>107</v>
      </c>
    </row>
    <row r="75" spans="1:12" ht="15" x14ac:dyDescent="0.25">
      <c r="A75" s="5">
        <v>45750</v>
      </c>
      <c r="B75" t="s">
        <v>48</v>
      </c>
      <c r="C75">
        <v>0.5</v>
      </c>
      <c r="D75" s="5">
        <v>46645</v>
      </c>
      <c r="E75">
        <v>2</v>
      </c>
      <c r="F75" t="s">
        <v>76</v>
      </c>
      <c r="G75">
        <v>6910000000000</v>
      </c>
      <c r="H75">
        <v>0.31</v>
      </c>
      <c r="I75">
        <f t="shared" si="1"/>
        <v>2.1543999999999999</v>
      </c>
      <c r="J75" t="s">
        <v>102</v>
      </c>
      <c r="K75">
        <v>2</v>
      </c>
      <c r="L75" t="s">
        <v>108</v>
      </c>
    </row>
    <row r="76" spans="1:12" ht="15" x14ac:dyDescent="0.25">
      <c r="A76" s="5">
        <v>45750</v>
      </c>
      <c r="B76" t="s">
        <v>48</v>
      </c>
      <c r="C76">
        <v>0.5</v>
      </c>
      <c r="D76" s="5">
        <v>46645</v>
      </c>
      <c r="E76">
        <v>2</v>
      </c>
      <c r="F76" t="s">
        <v>76</v>
      </c>
      <c r="G76">
        <v>6910000000000</v>
      </c>
      <c r="H76">
        <v>0.43</v>
      </c>
      <c r="I76">
        <f t="shared" si="1"/>
        <v>2.2744</v>
      </c>
      <c r="J76" t="s">
        <v>103</v>
      </c>
      <c r="K76">
        <v>2</v>
      </c>
      <c r="L76" t="s">
        <v>109</v>
      </c>
    </row>
    <row r="77" spans="1:12" ht="15" x14ac:dyDescent="0.25">
      <c r="A77" s="5">
        <v>45748</v>
      </c>
      <c r="B77" t="s">
        <v>31</v>
      </c>
      <c r="C77">
        <v>2.37</v>
      </c>
      <c r="D77" s="5">
        <v>46484</v>
      </c>
      <c r="E77">
        <v>2</v>
      </c>
      <c r="F77" t="s">
        <v>76</v>
      </c>
      <c r="G77">
        <v>24000000</v>
      </c>
      <c r="H77">
        <v>0.31</v>
      </c>
      <c r="I77">
        <f t="shared" si="1"/>
        <v>2.1543999999999999</v>
      </c>
      <c r="J77" t="s">
        <v>101</v>
      </c>
      <c r="K77">
        <v>2</v>
      </c>
      <c r="L77" t="s">
        <v>107</v>
      </c>
    </row>
    <row r="78" spans="1:12" ht="15" x14ac:dyDescent="0.25">
      <c r="A78" s="5">
        <v>45748</v>
      </c>
      <c r="B78" t="s">
        <v>31</v>
      </c>
      <c r="C78">
        <v>2.37</v>
      </c>
      <c r="D78" s="5">
        <v>46484</v>
      </c>
      <c r="E78">
        <v>2</v>
      </c>
      <c r="F78" t="s">
        <v>76</v>
      </c>
      <c r="G78">
        <v>24000000</v>
      </c>
      <c r="H78">
        <v>0.31</v>
      </c>
      <c r="I78">
        <f t="shared" si="1"/>
        <v>2.1543999999999999</v>
      </c>
      <c r="J78" t="s">
        <v>102</v>
      </c>
      <c r="K78">
        <v>2</v>
      </c>
      <c r="L78" t="s">
        <v>108</v>
      </c>
    </row>
    <row r="79" spans="1:12" ht="15" x14ac:dyDescent="0.25">
      <c r="A79" s="5">
        <v>45748</v>
      </c>
      <c r="B79" t="s">
        <v>31</v>
      </c>
      <c r="C79">
        <v>2.37</v>
      </c>
      <c r="D79" s="5">
        <v>46484</v>
      </c>
      <c r="E79">
        <v>2</v>
      </c>
      <c r="F79" t="s">
        <v>76</v>
      </c>
      <c r="G79">
        <v>24000000</v>
      </c>
      <c r="H79">
        <v>0.53</v>
      </c>
      <c r="I79">
        <f t="shared" si="1"/>
        <v>2.3744000000000001</v>
      </c>
      <c r="J79" t="s">
        <v>103</v>
      </c>
      <c r="K79">
        <v>2</v>
      </c>
      <c r="L79" t="s">
        <v>109</v>
      </c>
    </row>
    <row r="80" spans="1:12" ht="15" x14ac:dyDescent="0.25">
      <c r="A80" s="5">
        <v>45748</v>
      </c>
      <c r="B80" t="s">
        <v>73</v>
      </c>
      <c r="C80">
        <v>2.2000000000000002</v>
      </c>
      <c r="D80" s="5">
        <v>46457</v>
      </c>
      <c r="E80">
        <v>2</v>
      </c>
      <c r="F80" t="s">
        <v>76</v>
      </c>
      <c r="G80">
        <v>18500000000000</v>
      </c>
      <c r="H80">
        <v>0.31</v>
      </c>
      <c r="I80">
        <f t="shared" si="1"/>
        <v>2.1543999999999999</v>
      </c>
      <c r="J80" t="s">
        <v>101</v>
      </c>
      <c r="K80">
        <v>2</v>
      </c>
      <c r="L80" t="s">
        <v>107</v>
      </c>
    </row>
    <row r="81" spans="1:12" ht="15" x14ac:dyDescent="0.25">
      <c r="A81" s="5">
        <v>45748</v>
      </c>
      <c r="B81" t="s">
        <v>73</v>
      </c>
      <c r="C81">
        <v>2.2000000000000002</v>
      </c>
      <c r="D81" s="5">
        <v>46457</v>
      </c>
      <c r="E81">
        <v>2</v>
      </c>
      <c r="F81" t="s">
        <v>76</v>
      </c>
      <c r="G81">
        <v>18500000000000</v>
      </c>
      <c r="H81">
        <v>0.31</v>
      </c>
      <c r="I81">
        <f t="shared" si="1"/>
        <v>2.1543999999999999</v>
      </c>
      <c r="J81" t="s">
        <v>102</v>
      </c>
      <c r="K81">
        <v>2</v>
      </c>
      <c r="L81" t="s">
        <v>108</v>
      </c>
    </row>
    <row r="82" spans="1:12" ht="15" x14ac:dyDescent="0.25">
      <c r="A82" s="5">
        <v>45748</v>
      </c>
      <c r="B82" t="s">
        <v>73</v>
      </c>
      <c r="C82">
        <v>2.2000000000000002</v>
      </c>
      <c r="D82" s="5">
        <v>46457</v>
      </c>
      <c r="E82">
        <v>2</v>
      </c>
      <c r="F82" t="s">
        <v>76</v>
      </c>
      <c r="G82">
        <v>18500000000000</v>
      </c>
      <c r="H82">
        <v>0.53</v>
      </c>
      <c r="I82">
        <f t="shared" si="1"/>
        <v>2.3744000000000001</v>
      </c>
      <c r="J82" t="s">
        <v>103</v>
      </c>
      <c r="K82">
        <v>2</v>
      </c>
      <c r="L82" t="s">
        <v>109</v>
      </c>
    </row>
    <row r="83" spans="1:12" ht="15" x14ac:dyDescent="0.25">
      <c r="A83" s="5">
        <v>45776</v>
      </c>
      <c r="B83" t="s">
        <v>15</v>
      </c>
      <c r="C83">
        <v>2.875</v>
      </c>
      <c r="D83" s="5">
        <v>46919</v>
      </c>
      <c r="E83">
        <v>3</v>
      </c>
      <c r="F83" t="s">
        <v>76</v>
      </c>
      <c r="G83">
        <v>750000000</v>
      </c>
      <c r="H83">
        <v>0.35</v>
      </c>
      <c r="I83">
        <f>H83+1.9281</f>
        <v>2.2780999999999998</v>
      </c>
      <c r="J83" t="s">
        <v>92</v>
      </c>
      <c r="K83">
        <v>3</v>
      </c>
      <c r="L83" t="s">
        <v>107</v>
      </c>
    </row>
    <row r="84" spans="1:12" ht="15" x14ac:dyDescent="0.25">
      <c r="A84" s="5">
        <v>45776</v>
      </c>
      <c r="B84" t="s">
        <v>15</v>
      </c>
      <c r="C84">
        <v>2.875</v>
      </c>
      <c r="D84" s="5">
        <v>46919</v>
      </c>
      <c r="E84">
        <v>3</v>
      </c>
      <c r="F84" t="s">
        <v>76</v>
      </c>
      <c r="G84">
        <v>750000000</v>
      </c>
      <c r="H84">
        <v>0.35</v>
      </c>
      <c r="I84">
        <f t="shared" ref="I84:I147" si="2">H84+1.9281</f>
        <v>2.2780999999999998</v>
      </c>
      <c r="J84" t="s">
        <v>93</v>
      </c>
      <c r="K84">
        <v>3</v>
      </c>
      <c r="L84" t="s">
        <v>108</v>
      </c>
    </row>
    <row r="85" spans="1:12" ht="15" x14ac:dyDescent="0.25">
      <c r="A85" s="5">
        <v>45776</v>
      </c>
      <c r="B85" t="s">
        <v>15</v>
      </c>
      <c r="C85">
        <v>2.875</v>
      </c>
      <c r="D85" s="5">
        <v>46919</v>
      </c>
      <c r="E85">
        <v>3</v>
      </c>
      <c r="F85" t="s">
        <v>76</v>
      </c>
      <c r="G85">
        <v>750000000</v>
      </c>
      <c r="H85">
        <v>0.54</v>
      </c>
      <c r="I85">
        <f t="shared" si="2"/>
        <v>2.4680999999999997</v>
      </c>
      <c r="J85" t="s">
        <v>94</v>
      </c>
      <c r="K85">
        <v>3</v>
      </c>
      <c r="L85" t="s">
        <v>109</v>
      </c>
    </row>
    <row r="86" spans="1:12" ht="15" x14ac:dyDescent="0.25">
      <c r="A86" s="5">
        <v>45776</v>
      </c>
      <c r="B86" t="s">
        <v>17</v>
      </c>
      <c r="C86">
        <v>2.5</v>
      </c>
      <c r="D86" s="5">
        <v>46879</v>
      </c>
      <c r="E86">
        <v>3</v>
      </c>
      <c r="F86" t="s">
        <v>76</v>
      </c>
      <c r="G86">
        <v>500000000</v>
      </c>
      <c r="H86">
        <v>0.35</v>
      </c>
      <c r="I86">
        <f t="shared" si="2"/>
        <v>2.2780999999999998</v>
      </c>
      <c r="J86" t="s">
        <v>92</v>
      </c>
      <c r="K86">
        <v>3</v>
      </c>
      <c r="L86" t="s">
        <v>107</v>
      </c>
    </row>
    <row r="87" spans="1:12" ht="15" x14ac:dyDescent="0.25">
      <c r="A87" s="5">
        <v>45776</v>
      </c>
      <c r="B87" t="s">
        <v>17</v>
      </c>
      <c r="C87">
        <v>2.5</v>
      </c>
      <c r="D87" s="5">
        <v>46879</v>
      </c>
      <c r="E87">
        <v>3</v>
      </c>
      <c r="F87" t="s">
        <v>76</v>
      </c>
      <c r="G87">
        <v>500000000</v>
      </c>
      <c r="H87">
        <v>0.35</v>
      </c>
      <c r="I87">
        <f t="shared" si="2"/>
        <v>2.2780999999999998</v>
      </c>
      <c r="J87" t="s">
        <v>93</v>
      </c>
      <c r="K87">
        <v>3</v>
      </c>
      <c r="L87" t="s">
        <v>108</v>
      </c>
    </row>
    <row r="88" spans="1:12" ht="15" x14ac:dyDescent="0.25">
      <c r="A88" s="5">
        <v>45776</v>
      </c>
      <c r="B88" t="s">
        <v>17</v>
      </c>
      <c r="C88">
        <v>2.5</v>
      </c>
      <c r="D88" s="5">
        <v>46879</v>
      </c>
      <c r="E88">
        <v>3</v>
      </c>
      <c r="F88" t="s">
        <v>76</v>
      </c>
      <c r="G88">
        <v>500000000</v>
      </c>
      <c r="H88">
        <v>0.54</v>
      </c>
      <c r="I88">
        <f t="shared" si="2"/>
        <v>2.4680999999999997</v>
      </c>
      <c r="J88" t="s">
        <v>94</v>
      </c>
      <c r="K88">
        <v>3</v>
      </c>
      <c r="L88" t="s">
        <v>109</v>
      </c>
    </row>
    <row r="89" spans="1:12" ht="15" x14ac:dyDescent="0.25">
      <c r="A89" s="5">
        <v>45776</v>
      </c>
      <c r="B89" t="s">
        <v>9</v>
      </c>
      <c r="C89">
        <v>2</v>
      </c>
      <c r="D89" s="5">
        <v>46916</v>
      </c>
      <c r="E89">
        <v>3</v>
      </c>
      <c r="F89" t="s">
        <v>76</v>
      </c>
      <c r="G89">
        <v>100000000</v>
      </c>
      <c r="H89">
        <v>0.35</v>
      </c>
      <c r="I89">
        <f t="shared" si="2"/>
        <v>2.2780999999999998</v>
      </c>
      <c r="J89" t="s">
        <v>92</v>
      </c>
      <c r="K89">
        <v>3</v>
      </c>
      <c r="L89" t="s">
        <v>107</v>
      </c>
    </row>
    <row r="90" spans="1:12" ht="15" x14ac:dyDescent="0.25">
      <c r="A90" s="5">
        <v>45776</v>
      </c>
      <c r="B90" t="s">
        <v>9</v>
      </c>
      <c r="C90">
        <v>2</v>
      </c>
      <c r="D90" s="5">
        <v>46916</v>
      </c>
      <c r="E90">
        <v>3</v>
      </c>
      <c r="F90" t="s">
        <v>76</v>
      </c>
      <c r="G90">
        <v>100000000</v>
      </c>
      <c r="H90">
        <v>0.35</v>
      </c>
      <c r="I90">
        <f t="shared" si="2"/>
        <v>2.2780999999999998</v>
      </c>
      <c r="J90" t="s">
        <v>93</v>
      </c>
      <c r="K90">
        <v>3</v>
      </c>
      <c r="L90" t="s">
        <v>108</v>
      </c>
    </row>
    <row r="91" spans="1:12" ht="15" x14ac:dyDescent="0.25">
      <c r="A91" s="5">
        <v>45776</v>
      </c>
      <c r="B91" t="s">
        <v>9</v>
      </c>
      <c r="C91">
        <v>2</v>
      </c>
      <c r="D91" s="5">
        <v>46916</v>
      </c>
      <c r="E91">
        <v>3</v>
      </c>
      <c r="F91" t="s">
        <v>76</v>
      </c>
      <c r="G91">
        <v>100000000</v>
      </c>
      <c r="H91">
        <v>0.54</v>
      </c>
      <c r="I91">
        <f t="shared" si="2"/>
        <v>2.4680999999999997</v>
      </c>
      <c r="J91" t="s">
        <v>94</v>
      </c>
      <c r="K91">
        <v>3</v>
      </c>
      <c r="L91" t="s">
        <v>109</v>
      </c>
    </row>
    <row r="92" spans="1:12" ht="15" x14ac:dyDescent="0.25">
      <c r="A92" s="5">
        <v>45776</v>
      </c>
      <c r="B92" t="s">
        <v>22</v>
      </c>
      <c r="C92">
        <v>2.25</v>
      </c>
      <c r="D92" s="5">
        <v>46882</v>
      </c>
      <c r="E92">
        <v>3</v>
      </c>
      <c r="F92" t="s">
        <v>76</v>
      </c>
      <c r="G92">
        <v>50000000</v>
      </c>
      <c r="H92">
        <v>0.35</v>
      </c>
      <c r="I92">
        <f t="shared" si="2"/>
        <v>2.2780999999999998</v>
      </c>
      <c r="J92" t="s">
        <v>92</v>
      </c>
      <c r="K92">
        <v>3</v>
      </c>
      <c r="L92" t="s">
        <v>107</v>
      </c>
    </row>
    <row r="93" spans="1:12" ht="15" x14ac:dyDescent="0.25">
      <c r="A93" s="5">
        <v>45776</v>
      </c>
      <c r="B93" t="s">
        <v>22</v>
      </c>
      <c r="C93">
        <v>2.25</v>
      </c>
      <c r="D93" s="5">
        <v>46882</v>
      </c>
      <c r="E93">
        <v>3</v>
      </c>
      <c r="F93" t="s">
        <v>76</v>
      </c>
      <c r="G93">
        <v>50000000</v>
      </c>
      <c r="H93">
        <v>0.35</v>
      </c>
      <c r="I93">
        <f t="shared" si="2"/>
        <v>2.2780999999999998</v>
      </c>
      <c r="J93" t="s">
        <v>93</v>
      </c>
      <c r="K93">
        <v>3</v>
      </c>
      <c r="L93" t="s">
        <v>108</v>
      </c>
    </row>
    <row r="94" spans="1:12" ht="15" x14ac:dyDescent="0.25">
      <c r="A94" s="5">
        <v>45776</v>
      </c>
      <c r="B94" t="s">
        <v>22</v>
      </c>
      <c r="C94">
        <v>2.25</v>
      </c>
      <c r="D94" s="5">
        <v>46882</v>
      </c>
      <c r="E94">
        <v>3</v>
      </c>
      <c r="F94" t="s">
        <v>76</v>
      </c>
      <c r="G94">
        <v>50000000</v>
      </c>
      <c r="H94">
        <v>0.54</v>
      </c>
      <c r="I94">
        <f t="shared" si="2"/>
        <v>2.4680999999999997</v>
      </c>
      <c r="J94" t="s">
        <v>94</v>
      </c>
      <c r="K94">
        <v>3</v>
      </c>
      <c r="L94" t="s">
        <v>109</v>
      </c>
    </row>
    <row r="95" spans="1:12" ht="15" x14ac:dyDescent="0.25">
      <c r="A95" s="5">
        <v>45771</v>
      </c>
      <c r="B95" t="s">
        <v>30</v>
      </c>
      <c r="C95">
        <v>0.25</v>
      </c>
      <c r="D95" s="5">
        <v>46729</v>
      </c>
      <c r="E95">
        <v>3</v>
      </c>
      <c r="F95" t="s">
        <v>76</v>
      </c>
      <c r="G95">
        <v>4.5658E+16</v>
      </c>
      <c r="H95">
        <v>0.35</v>
      </c>
      <c r="I95">
        <f t="shared" si="2"/>
        <v>2.2780999999999998</v>
      </c>
      <c r="J95" t="s">
        <v>92</v>
      </c>
      <c r="K95">
        <v>3</v>
      </c>
      <c r="L95" t="s">
        <v>107</v>
      </c>
    </row>
    <row r="96" spans="1:12" ht="15" x14ac:dyDescent="0.25">
      <c r="A96" s="5">
        <v>45771</v>
      </c>
      <c r="B96" t="s">
        <v>30</v>
      </c>
      <c r="C96">
        <v>0.25</v>
      </c>
      <c r="D96" s="5">
        <v>46729</v>
      </c>
      <c r="E96">
        <v>3</v>
      </c>
      <c r="F96" t="s">
        <v>76</v>
      </c>
      <c r="G96">
        <v>4.5658E+16</v>
      </c>
      <c r="H96">
        <v>0.35</v>
      </c>
      <c r="I96">
        <f t="shared" si="2"/>
        <v>2.2780999999999998</v>
      </c>
      <c r="J96" t="s">
        <v>93</v>
      </c>
      <c r="K96">
        <v>3</v>
      </c>
      <c r="L96" t="s">
        <v>108</v>
      </c>
    </row>
    <row r="97" spans="1:12" ht="15" x14ac:dyDescent="0.25">
      <c r="A97" s="5">
        <v>45771</v>
      </c>
      <c r="B97" t="s">
        <v>30</v>
      </c>
      <c r="C97">
        <v>0.25</v>
      </c>
      <c r="D97" s="5">
        <v>46729</v>
      </c>
      <c r="E97">
        <v>3</v>
      </c>
      <c r="F97" t="s">
        <v>76</v>
      </c>
      <c r="G97">
        <v>4.5658E+16</v>
      </c>
      <c r="H97">
        <v>0.54</v>
      </c>
      <c r="I97">
        <f t="shared" si="2"/>
        <v>2.4680999999999997</v>
      </c>
      <c r="J97" t="s">
        <v>94</v>
      </c>
      <c r="K97">
        <v>3</v>
      </c>
      <c r="L97" t="s">
        <v>109</v>
      </c>
    </row>
    <row r="98" spans="1:12" ht="15" x14ac:dyDescent="0.25">
      <c r="A98" s="5">
        <v>45770</v>
      </c>
      <c r="B98" t="s">
        <v>32</v>
      </c>
      <c r="C98">
        <v>2.1</v>
      </c>
      <c r="D98" s="5">
        <v>46881</v>
      </c>
      <c r="E98">
        <v>3</v>
      </c>
      <c r="F98" t="s">
        <v>76</v>
      </c>
      <c r="G98">
        <v>20000000</v>
      </c>
      <c r="H98">
        <v>0.35</v>
      </c>
      <c r="I98">
        <f t="shared" si="2"/>
        <v>2.2780999999999998</v>
      </c>
      <c r="J98" t="s">
        <v>92</v>
      </c>
      <c r="K98">
        <v>3</v>
      </c>
      <c r="L98" t="s">
        <v>107</v>
      </c>
    </row>
    <row r="99" spans="1:12" ht="15" x14ac:dyDescent="0.25">
      <c r="A99" s="5">
        <v>45770</v>
      </c>
      <c r="B99" t="s">
        <v>32</v>
      </c>
      <c r="C99">
        <v>2.1</v>
      </c>
      <c r="D99" s="5">
        <v>46881</v>
      </c>
      <c r="E99">
        <v>3</v>
      </c>
      <c r="F99" t="s">
        <v>76</v>
      </c>
      <c r="G99">
        <v>20000000</v>
      </c>
      <c r="H99">
        <v>0.35</v>
      </c>
      <c r="I99">
        <f t="shared" si="2"/>
        <v>2.2780999999999998</v>
      </c>
      <c r="J99" t="s">
        <v>93</v>
      </c>
      <c r="K99">
        <v>3</v>
      </c>
      <c r="L99" t="s">
        <v>108</v>
      </c>
    </row>
    <row r="100" spans="1:12" ht="15" x14ac:dyDescent="0.25">
      <c r="A100" s="5">
        <v>45770</v>
      </c>
      <c r="B100" t="s">
        <v>32</v>
      </c>
      <c r="C100">
        <v>2.1</v>
      </c>
      <c r="D100" s="5">
        <v>46881</v>
      </c>
      <c r="E100">
        <v>3</v>
      </c>
      <c r="F100" t="s">
        <v>76</v>
      </c>
      <c r="G100">
        <v>20000000</v>
      </c>
      <c r="H100">
        <v>0.54</v>
      </c>
      <c r="I100">
        <f t="shared" si="2"/>
        <v>2.4680999999999997</v>
      </c>
      <c r="J100" t="s">
        <v>94</v>
      </c>
      <c r="K100">
        <v>3</v>
      </c>
      <c r="L100" t="s">
        <v>109</v>
      </c>
    </row>
    <row r="101" spans="1:12" ht="15" x14ac:dyDescent="0.25">
      <c r="A101" s="5">
        <v>45770</v>
      </c>
      <c r="B101" t="s">
        <v>32</v>
      </c>
      <c r="C101">
        <v>2.2000000000000002</v>
      </c>
      <c r="D101" s="5">
        <v>46903</v>
      </c>
      <c r="E101">
        <v>3</v>
      </c>
      <c r="F101" t="s">
        <v>76</v>
      </c>
      <c r="G101">
        <v>20000000</v>
      </c>
      <c r="H101">
        <v>0.35</v>
      </c>
      <c r="I101">
        <f t="shared" si="2"/>
        <v>2.2780999999999998</v>
      </c>
      <c r="J101" t="s">
        <v>92</v>
      </c>
      <c r="K101">
        <v>3</v>
      </c>
      <c r="L101" t="s">
        <v>107</v>
      </c>
    </row>
    <row r="102" spans="1:12" ht="15" x14ac:dyDescent="0.25">
      <c r="A102" s="5">
        <v>45770</v>
      </c>
      <c r="B102" t="s">
        <v>32</v>
      </c>
      <c r="C102">
        <v>2.2000000000000002</v>
      </c>
      <c r="D102" s="5">
        <v>46903</v>
      </c>
      <c r="E102">
        <v>3</v>
      </c>
      <c r="F102" t="s">
        <v>76</v>
      </c>
      <c r="G102">
        <v>20000000</v>
      </c>
      <c r="H102">
        <v>0.35</v>
      </c>
      <c r="I102">
        <f t="shared" si="2"/>
        <v>2.2780999999999998</v>
      </c>
      <c r="J102" t="s">
        <v>93</v>
      </c>
      <c r="K102">
        <v>3</v>
      </c>
      <c r="L102" t="s">
        <v>108</v>
      </c>
    </row>
    <row r="103" spans="1:12" ht="15" x14ac:dyDescent="0.25">
      <c r="A103" s="5">
        <v>45770</v>
      </c>
      <c r="B103" t="s">
        <v>32</v>
      </c>
      <c r="C103">
        <v>2.2000000000000002</v>
      </c>
      <c r="D103" s="5">
        <v>46903</v>
      </c>
      <c r="E103">
        <v>3</v>
      </c>
      <c r="F103" t="s">
        <v>76</v>
      </c>
      <c r="G103">
        <v>20000000</v>
      </c>
      <c r="H103">
        <v>0.54</v>
      </c>
      <c r="I103">
        <f t="shared" si="2"/>
        <v>2.4680999999999997</v>
      </c>
      <c r="J103" t="s">
        <v>94</v>
      </c>
      <c r="K103">
        <v>3</v>
      </c>
      <c r="L103" t="s">
        <v>109</v>
      </c>
    </row>
    <row r="104" spans="1:12" ht="15" x14ac:dyDescent="0.25">
      <c r="A104" s="5">
        <v>45770</v>
      </c>
      <c r="B104" t="s">
        <v>32</v>
      </c>
      <c r="C104">
        <v>2</v>
      </c>
      <c r="D104" s="5">
        <v>46903</v>
      </c>
      <c r="E104">
        <v>3</v>
      </c>
      <c r="F104" t="s">
        <v>76</v>
      </c>
      <c r="G104">
        <v>20000000</v>
      </c>
      <c r="H104">
        <v>0.35</v>
      </c>
      <c r="I104">
        <f t="shared" si="2"/>
        <v>2.2780999999999998</v>
      </c>
      <c r="J104" t="s">
        <v>92</v>
      </c>
      <c r="K104">
        <v>3</v>
      </c>
      <c r="L104" t="s">
        <v>107</v>
      </c>
    </row>
    <row r="105" spans="1:12" ht="15" x14ac:dyDescent="0.25">
      <c r="A105" s="5">
        <v>45770</v>
      </c>
      <c r="B105" t="s">
        <v>32</v>
      </c>
      <c r="C105">
        <v>2</v>
      </c>
      <c r="D105" s="5">
        <v>46903</v>
      </c>
      <c r="E105">
        <v>3</v>
      </c>
      <c r="F105" t="s">
        <v>76</v>
      </c>
      <c r="G105">
        <v>20000000</v>
      </c>
      <c r="H105">
        <v>0.35</v>
      </c>
      <c r="I105">
        <f t="shared" si="2"/>
        <v>2.2780999999999998</v>
      </c>
      <c r="J105" t="s">
        <v>93</v>
      </c>
      <c r="K105">
        <v>3</v>
      </c>
      <c r="L105" t="s">
        <v>108</v>
      </c>
    </row>
    <row r="106" spans="1:12" ht="15" x14ac:dyDescent="0.25">
      <c r="A106" s="5">
        <v>45770</v>
      </c>
      <c r="B106" t="s">
        <v>32</v>
      </c>
      <c r="C106">
        <v>2</v>
      </c>
      <c r="D106" s="5">
        <v>46903</v>
      </c>
      <c r="E106">
        <v>3</v>
      </c>
      <c r="F106" t="s">
        <v>76</v>
      </c>
      <c r="G106">
        <v>20000000</v>
      </c>
      <c r="H106">
        <v>0.54</v>
      </c>
      <c r="I106">
        <f t="shared" si="2"/>
        <v>2.4680999999999997</v>
      </c>
      <c r="J106" t="s">
        <v>94</v>
      </c>
      <c r="K106">
        <v>3</v>
      </c>
      <c r="L106" t="s">
        <v>109</v>
      </c>
    </row>
    <row r="107" spans="1:12" ht="15" x14ac:dyDescent="0.25">
      <c r="A107" s="5">
        <v>45769</v>
      </c>
      <c r="B107" t="s">
        <v>35</v>
      </c>
      <c r="C107">
        <v>3</v>
      </c>
      <c r="D107" s="5">
        <v>46790</v>
      </c>
      <c r="E107">
        <v>3</v>
      </c>
      <c r="F107" t="s">
        <v>76</v>
      </c>
      <c r="G107">
        <v>1.6072E+16</v>
      </c>
      <c r="H107">
        <v>0.35</v>
      </c>
      <c r="I107">
        <f t="shared" si="2"/>
        <v>2.2780999999999998</v>
      </c>
      <c r="J107" t="s">
        <v>92</v>
      </c>
      <c r="K107">
        <v>3</v>
      </c>
      <c r="L107" t="s">
        <v>107</v>
      </c>
    </row>
    <row r="108" spans="1:12" ht="15" x14ac:dyDescent="0.25">
      <c r="A108" s="5">
        <v>45769</v>
      </c>
      <c r="B108" t="s">
        <v>35</v>
      </c>
      <c r="C108">
        <v>3</v>
      </c>
      <c r="D108" s="5">
        <v>46790</v>
      </c>
      <c r="E108">
        <v>3</v>
      </c>
      <c r="F108" t="s">
        <v>76</v>
      </c>
      <c r="G108">
        <v>1.6072E+16</v>
      </c>
      <c r="H108">
        <v>0.35</v>
      </c>
      <c r="I108">
        <f t="shared" si="2"/>
        <v>2.2780999999999998</v>
      </c>
      <c r="J108" t="s">
        <v>93</v>
      </c>
      <c r="K108">
        <v>3</v>
      </c>
      <c r="L108" t="s">
        <v>108</v>
      </c>
    </row>
    <row r="109" spans="1:12" ht="15" x14ac:dyDescent="0.25">
      <c r="A109" s="5">
        <v>45769</v>
      </c>
      <c r="B109" t="s">
        <v>35</v>
      </c>
      <c r="C109">
        <v>3</v>
      </c>
      <c r="D109" s="5">
        <v>46790</v>
      </c>
      <c r="E109">
        <v>3</v>
      </c>
      <c r="F109" t="s">
        <v>76</v>
      </c>
      <c r="G109">
        <v>1.6072E+16</v>
      </c>
      <c r="H109">
        <v>0.54</v>
      </c>
      <c r="I109">
        <f t="shared" si="2"/>
        <v>2.4680999999999997</v>
      </c>
      <c r="J109" t="s">
        <v>94</v>
      </c>
      <c r="K109">
        <v>3</v>
      </c>
      <c r="L109" t="s">
        <v>109</v>
      </c>
    </row>
    <row r="110" spans="1:12" ht="15" x14ac:dyDescent="0.25">
      <c r="A110" s="5">
        <v>45769</v>
      </c>
      <c r="B110" t="s">
        <v>37</v>
      </c>
      <c r="C110">
        <v>7.0000000000000009</v>
      </c>
      <c r="D110" s="5">
        <v>46881</v>
      </c>
      <c r="E110">
        <v>3</v>
      </c>
      <c r="F110" t="s">
        <v>76</v>
      </c>
      <c r="G110">
        <v>3000000</v>
      </c>
      <c r="H110">
        <v>0.35</v>
      </c>
      <c r="I110">
        <f t="shared" si="2"/>
        <v>2.2780999999999998</v>
      </c>
      <c r="J110" t="s">
        <v>92</v>
      </c>
      <c r="K110">
        <v>3</v>
      </c>
      <c r="L110" t="s">
        <v>107</v>
      </c>
    </row>
    <row r="111" spans="1:12" ht="15" x14ac:dyDescent="0.25">
      <c r="A111" s="5">
        <v>45769</v>
      </c>
      <c r="B111" t="s">
        <v>37</v>
      </c>
      <c r="C111">
        <v>7.0000000000000009</v>
      </c>
      <c r="D111" s="5">
        <v>46881</v>
      </c>
      <c r="E111">
        <v>3</v>
      </c>
      <c r="F111" t="s">
        <v>76</v>
      </c>
      <c r="G111">
        <v>3000000</v>
      </c>
      <c r="H111">
        <v>0.35</v>
      </c>
      <c r="I111">
        <f t="shared" si="2"/>
        <v>2.2780999999999998</v>
      </c>
      <c r="J111" t="s">
        <v>93</v>
      </c>
      <c r="K111">
        <v>3</v>
      </c>
      <c r="L111" t="s">
        <v>108</v>
      </c>
    </row>
    <row r="112" spans="1:12" ht="15" x14ac:dyDescent="0.25">
      <c r="A112" s="5">
        <v>45769</v>
      </c>
      <c r="B112" t="s">
        <v>37</v>
      </c>
      <c r="C112">
        <v>7.0000000000000009</v>
      </c>
      <c r="D112" s="5">
        <v>46881</v>
      </c>
      <c r="E112">
        <v>3</v>
      </c>
      <c r="F112" t="s">
        <v>76</v>
      </c>
      <c r="G112">
        <v>3000000</v>
      </c>
      <c r="H112">
        <v>0.54</v>
      </c>
      <c r="I112">
        <f t="shared" si="2"/>
        <v>2.4680999999999997</v>
      </c>
      <c r="J112" t="s">
        <v>94</v>
      </c>
      <c r="K112">
        <v>3</v>
      </c>
      <c r="L112" t="s">
        <v>109</v>
      </c>
    </row>
    <row r="113" spans="1:12" ht="15" x14ac:dyDescent="0.25">
      <c r="A113" s="5">
        <v>45764</v>
      </c>
      <c r="B113" t="s">
        <v>40</v>
      </c>
      <c r="C113">
        <v>2.4</v>
      </c>
      <c r="D113" s="5">
        <v>47020</v>
      </c>
      <c r="E113">
        <v>3</v>
      </c>
      <c r="F113" t="s">
        <v>76</v>
      </c>
      <c r="G113">
        <v>14270000000000</v>
      </c>
      <c r="H113">
        <v>0.35</v>
      </c>
      <c r="I113">
        <f t="shared" si="2"/>
        <v>2.2780999999999998</v>
      </c>
      <c r="J113" t="s">
        <v>92</v>
      </c>
      <c r="K113">
        <v>3</v>
      </c>
      <c r="L113" t="s">
        <v>107</v>
      </c>
    </row>
    <row r="114" spans="1:12" ht="15" x14ac:dyDescent="0.25">
      <c r="A114" s="5">
        <v>45764</v>
      </c>
      <c r="B114" t="s">
        <v>40</v>
      </c>
      <c r="C114">
        <v>2.4</v>
      </c>
      <c r="D114" s="5">
        <v>47020</v>
      </c>
      <c r="E114">
        <v>3</v>
      </c>
      <c r="F114" t="s">
        <v>76</v>
      </c>
      <c r="G114">
        <v>14270000000000</v>
      </c>
      <c r="H114">
        <v>0.35</v>
      </c>
      <c r="I114">
        <f t="shared" si="2"/>
        <v>2.2780999999999998</v>
      </c>
      <c r="J114" t="s">
        <v>93</v>
      </c>
      <c r="K114">
        <v>3</v>
      </c>
      <c r="L114" t="s">
        <v>108</v>
      </c>
    </row>
    <row r="115" spans="1:12" ht="15" x14ac:dyDescent="0.25">
      <c r="A115" s="5">
        <v>45764</v>
      </c>
      <c r="B115" t="s">
        <v>40</v>
      </c>
      <c r="C115">
        <v>2.4</v>
      </c>
      <c r="D115" s="5">
        <v>47020</v>
      </c>
      <c r="E115">
        <v>3</v>
      </c>
      <c r="F115" t="s">
        <v>76</v>
      </c>
      <c r="G115">
        <v>14270000000000</v>
      </c>
      <c r="H115">
        <v>0.54</v>
      </c>
      <c r="I115">
        <f t="shared" si="2"/>
        <v>2.4680999999999997</v>
      </c>
      <c r="J115" t="s">
        <v>94</v>
      </c>
      <c r="K115">
        <v>3</v>
      </c>
      <c r="L115" t="s">
        <v>109</v>
      </c>
    </row>
    <row r="116" spans="1:12" ht="15" x14ac:dyDescent="0.25">
      <c r="A116" s="5">
        <v>45762</v>
      </c>
      <c r="B116" t="s">
        <v>45</v>
      </c>
      <c r="C116">
        <v>8.75</v>
      </c>
      <c r="D116" s="5">
        <v>46882</v>
      </c>
      <c r="E116">
        <v>3</v>
      </c>
      <c r="F116" t="s">
        <v>76</v>
      </c>
      <c r="G116">
        <v>15000000</v>
      </c>
      <c r="H116">
        <v>0.35</v>
      </c>
      <c r="I116">
        <f t="shared" si="2"/>
        <v>2.2780999999999998</v>
      </c>
      <c r="J116" t="s">
        <v>92</v>
      </c>
      <c r="K116">
        <v>3</v>
      </c>
      <c r="L116" t="s">
        <v>107</v>
      </c>
    </row>
    <row r="117" spans="1:12" ht="15" x14ac:dyDescent="0.25">
      <c r="A117" s="5">
        <v>45762</v>
      </c>
      <c r="B117" t="s">
        <v>45</v>
      </c>
      <c r="C117">
        <v>8.75</v>
      </c>
      <c r="D117" s="5">
        <v>46882</v>
      </c>
      <c r="E117">
        <v>3</v>
      </c>
      <c r="F117" t="s">
        <v>76</v>
      </c>
      <c r="G117">
        <v>15000000</v>
      </c>
      <c r="H117">
        <v>0.35</v>
      </c>
      <c r="I117">
        <f t="shared" si="2"/>
        <v>2.2780999999999998</v>
      </c>
      <c r="J117" t="s">
        <v>93</v>
      </c>
      <c r="K117">
        <v>3</v>
      </c>
      <c r="L117" t="s">
        <v>108</v>
      </c>
    </row>
    <row r="118" spans="1:12" ht="15" x14ac:dyDescent="0.25">
      <c r="A118" s="5">
        <v>45762</v>
      </c>
      <c r="B118" t="s">
        <v>45</v>
      </c>
      <c r="C118">
        <v>8.75</v>
      </c>
      <c r="D118" s="5">
        <v>46882</v>
      </c>
      <c r="E118">
        <v>3</v>
      </c>
      <c r="F118" t="s">
        <v>76</v>
      </c>
      <c r="G118">
        <v>15000000</v>
      </c>
      <c r="H118">
        <v>0.54</v>
      </c>
      <c r="I118">
        <f t="shared" si="2"/>
        <v>2.4680999999999997</v>
      </c>
      <c r="J118" t="s">
        <v>94</v>
      </c>
      <c r="K118">
        <v>3</v>
      </c>
      <c r="L118" t="s">
        <v>109</v>
      </c>
    </row>
    <row r="119" spans="1:12" ht="15" x14ac:dyDescent="0.25">
      <c r="A119" s="5">
        <v>45761</v>
      </c>
      <c r="B119" t="s">
        <v>49</v>
      </c>
      <c r="C119">
        <v>5.5</v>
      </c>
      <c r="D119" s="5">
        <v>46860</v>
      </c>
      <c r="E119">
        <v>3</v>
      </c>
      <c r="F119" t="s">
        <v>76</v>
      </c>
      <c r="G119">
        <v>50000000</v>
      </c>
      <c r="H119">
        <v>0.35</v>
      </c>
      <c r="I119">
        <f t="shared" si="2"/>
        <v>2.2780999999999998</v>
      </c>
      <c r="J119" t="s">
        <v>92</v>
      </c>
      <c r="K119">
        <v>3</v>
      </c>
      <c r="L119" t="s">
        <v>107</v>
      </c>
    </row>
    <row r="120" spans="1:12" ht="15" x14ac:dyDescent="0.25">
      <c r="A120" s="5">
        <v>45761</v>
      </c>
      <c r="B120" t="s">
        <v>49</v>
      </c>
      <c r="C120">
        <v>5.5</v>
      </c>
      <c r="D120" s="5">
        <v>46860</v>
      </c>
      <c r="E120">
        <v>3</v>
      </c>
      <c r="F120" t="s">
        <v>76</v>
      </c>
      <c r="G120">
        <v>50000000</v>
      </c>
      <c r="H120">
        <v>0.35</v>
      </c>
      <c r="I120">
        <f t="shared" si="2"/>
        <v>2.2780999999999998</v>
      </c>
      <c r="J120" t="s">
        <v>93</v>
      </c>
      <c r="K120">
        <v>3</v>
      </c>
      <c r="L120" t="s">
        <v>108</v>
      </c>
    </row>
    <row r="121" spans="1:12" ht="15" x14ac:dyDescent="0.25">
      <c r="A121" s="5">
        <v>45761</v>
      </c>
      <c r="B121" t="s">
        <v>49</v>
      </c>
      <c r="C121">
        <v>5.5</v>
      </c>
      <c r="D121" s="5">
        <v>46860</v>
      </c>
      <c r="E121">
        <v>3</v>
      </c>
      <c r="F121" t="s">
        <v>76</v>
      </c>
      <c r="G121">
        <v>50000000</v>
      </c>
      <c r="H121">
        <v>0.54</v>
      </c>
      <c r="I121">
        <f t="shared" si="2"/>
        <v>2.4680999999999997</v>
      </c>
      <c r="J121" t="s">
        <v>94</v>
      </c>
      <c r="K121">
        <v>3</v>
      </c>
      <c r="L121" t="s">
        <v>109</v>
      </c>
    </row>
    <row r="122" spans="1:12" ht="15" x14ac:dyDescent="0.25">
      <c r="A122" s="5">
        <v>45758</v>
      </c>
      <c r="B122" t="s">
        <v>32</v>
      </c>
      <c r="C122">
        <v>2.15</v>
      </c>
      <c r="D122" s="5">
        <v>46889</v>
      </c>
      <c r="E122">
        <v>3</v>
      </c>
      <c r="F122" t="s">
        <v>76</v>
      </c>
      <c r="G122">
        <v>20000000</v>
      </c>
      <c r="H122">
        <v>0.35</v>
      </c>
      <c r="I122">
        <f t="shared" si="2"/>
        <v>2.2780999999999998</v>
      </c>
      <c r="J122" t="s">
        <v>92</v>
      </c>
      <c r="K122">
        <v>3</v>
      </c>
      <c r="L122" t="s">
        <v>107</v>
      </c>
    </row>
    <row r="123" spans="1:12" ht="15" x14ac:dyDescent="0.25">
      <c r="A123" s="5">
        <v>45758</v>
      </c>
      <c r="B123" t="s">
        <v>32</v>
      </c>
      <c r="C123">
        <v>2.15</v>
      </c>
      <c r="D123" s="5">
        <v>46889</v>
      </c>
      <c r="E123">
        <v>3</v>
      </c>
      <c r="F123" t="s">
        <v>76</v>
      </c>
      <c r="G123">
        <v>20000000</v>
      </c>
      <c r="H123">
        <v>0.35</v>
      </c>
      <c r="I123">
        <f t="shared" si="2"/>
        <v>2.2780999999999998</v>
      </c>
      <c r="J123" t="s">
        <v>93</v>
      </c>
      <c r="K123">
        <v>3</v>
      </c>
      <c r="L123" t="s">
        <v>108</v>
      </c>
    </row>
    <row r="124" spans="1:12" ht="15" x14ac:dyDescent="0.25">
      <c r="A124" s="5">
        <v>45758</v>
      </c>
      <c r="B124" t="s">
        <v>32</v>
      </c>
      <c r="C124">
        <v>2.15</v>
      </c>
      <c r="D124" s="5">
        <v>46889</v>
      </c>
      <c r="E124">
        <v>3</v>
      </c>
      <c r="F124" t="s">
        <v>76</v>
      </c>
      <c r="G124">
        <v>20000000</v>
      </c>
      <c r="H124">
        <v>0.54</v>
      </c>
      <c r="I124">
        <f t="shared" si="2"/>
        <v>2.4680999999999997</v>
      </c>
      <c r="J124" t="s">
        <v>94</v>
      </c>
      <c r="K124">
        <v>3</v>
      </c>
      <c r="L124" t="s">
        <v>109</v>
      </c>
    </row>
    <row r="125" spans="1:12" ht="15" x14ac:dyDescent="0.25">
      <c r="A125" s="5">
        <v>45756</v>
      </c>
      <c r="B125" t="s">
        <v>32</v>
      </c>
      <c r="C125">
        <v>2.2999999999999998</v>
      </c>
      <c r="D125" s="5">
        <v>46882</v>
      </c>
      <c r="E125">
        <v>3</v>
      </c>
      <c r="F125" t="s">
        <v>76</v>
      </c>
      <c r="G125">
        <v>20000000</v>
      </c>
      <c r="H125">
        <v>0.35</v>
      </c>
      <c r="I125">
        <f t="shared" si="2"/>
        <v>2.2780999999999998</v>
      </c>
      <c r="J125" t="s">
        <v>92</v>
      </c>
      <c r="K125">
        <v>3</v>
      </c>
      <c r="L125" t="s">
        <v>107</v>
      </c>
    </row>
    <row r="126" spans="1:12" ht="15" x14ac:dyDescent="0.25">
      <c r="A126" s="5">
        <v>45756</v>
      </c>
      <c r="B126" t="s">
        <v>32</v>
      </c>
      <c r="C126">
        <v>2.2999999999999998</v>
      </c>
      <c r="D126" s="5">
        <v>46882</v>
      </c>
      <c r="E126">
        <v>3</v>
      </c>
      <c r="F126" t="s">
        <v>76</v>
      </c>
      <c r="G126">
        <v>20000000</v>
      </c>
      <c r="H126">
        <v>0.35</v>
      </c>
      <c r="I126">
        <f t="shared" si="2"/>
        <v>2.2780999999999998</v>
      </c>
      <c r="J126" t="s">
        <v>93</v>
      </c>
      <c r="K126">
        <v>3</v>
      </c>
      <c r="L126" t="s">
        <v>108</v>
      </c>
    </row>
    <row r="127" spans="1:12" ht="15" x14ac:dyDescent="0.25">
      <c r="A127" s="5">
        <v>45756</v>
      </c>
      <c r="B127" t="s">
        <v>32</v>
      </c>
      <c r="C127">
        <v>2.2999999999999998</v>
      </c>
      <c r="D127" s="5">
        <v>46882</v>
      </c>
      <c r="E127">
        <v>3</v>
      </c>
      <c r="F127" t="s">
        <v>76</v>
      </c>
      <c r="G127">
        <v>20000000</v>
      </c>
      <c r="H127">
        <v>0.54</v>
      </c>
      <c r="I127">
        <f t="shared" si="2"/>
        <v>2.4680999999999997</v>
      </c>
      <c r="J127" t="s">
        <v>94</v>
      </c>
      <c r="K127">
        <v>3</v>
      </c>
      <c r="L127" t="s">
        <v>109</v>
      </c>
    </row>
    <row r="128" spans="1:12" ht="15" x14ac:dyDescent="0.25">
      <c r="A128" s="5">
        <v>45756</v>
      </c>
      <c r="B128" t="s">
        <v>55</v>
      </c>
      <c r="C128">
        <v>2.1150000000000002</v>
      </c>
      <c r="D128" s="5">
        <v>46861</v>
      </c>
      <c r="E128">
        <v>3</v>
      </c>
      <c r="F128" t="s">
        <v>76</v>
      </c>
      <c r="G128">
        <v>150000000</v>
      </c>
      <c r="H128">
        <v>0.35</v>
      </c>
      <c r="I128">
        <f t="shared" si="2"/>
        <v>2.2780999999999998</v>
      </c>
      <c r="J128" t="s">
        <v>92</v>
      </c>
      <c r="K128">
        <v>3</v>
      </c>
      <c r="L128" t="s">
        <v>107</v>
      </c>
    </row>
    <row r="129" spans="1:12" ht="15" x14ac:dyDescent="0.25">
      <c r="A129" s="5">
        <v>45756</v>
      </c>
      <c r="B129" t="s">
        <v>55</v>
      </c>
      <c r="C129">
        <v>2.1150000000000002</v>
      </c>
      <c r="D129" s="5">
        <v>46861</v>
      </c>
      <c r="E129">
        <v>3</v>
      </c>
      <c r="F129" t="s">
        <v>76</v>
      </c>
      <c r="G129">
        <v>150000000</v>
      </c>
      <c r="H129">
        <v>0.35</v>
      </c>
      <c r="I129">
        <f t="shared" si="2"/>
        <v>2.2780999999999998</v>
      </c>
      <c r="J129" t="s">
        <v>93</v>
      </c>
      <c r="K129">
        <v>3</v>
      </c>
      <c r="L129" t="s">
        <v>108</v>
      </c>
    </row>
    <row r="130" spans="1:12" ht="15" x14ac:dyDescent="0.25">
      <c r="A130" s="5">
        <v>45756</v>
      </c>
      <c r="B130" t="s">
        <v>55</v>
      </c>
      <c r="C130">
        <v>2.1150000000000002</v>
      </c>
      <c r="D130" s="5">
        <v>46861</v>
      </c>
      <c r="E130">
        <v>3</v>
      </c>
      <c r="F130" t="s">
        <v>76</v>
      </c>
      <c r="G130">
        <v>150000000</v>
      </c>
      <c r="H130">
        <v>0.54</v>
      </c>
      <c r="I130">
        <f t="shared" si="2"/>
        <v>2.4680999999999997</v>
      </c>
      <c r="J130" t="s">
        <v>94</v>
      </c>
      <c r="K130">
        <v>3</v>
      </c>
      <c r="L130" t="s">
        <v>109</v>
      </c>
    </row>
    <row r="131" spans="1:12" ht="15" x14ac:dyDescent="0.25">
      <c r="A131" s="5">
        <v>45755</v>
      </c>
      <c r="B131" t="s">
        <v>9</v>
      </c>
      <c r="C131">
        <v>2.0499999999999998</v>
      </c>
      <c r="D131" s="5">
        <v>46888</v>
      </c>
      <c r="E131">
        <v>3</v>
      </c>
      <c r="F131" t="s">
        <v>76</v>
      </c>
      <c r="G131">
        <v>100000000</v>
      </c>
      <c r="H131">
        <v>0.35</v>
      </c>
      <c r="I131">
        <f t="shared" si="2"/>
        <v>2.2780999999999998</v>
      </c>
      <c r="J131" t="s">
        <v>92</v>
      </c>
      <c r="K131">
        <v>3</v>
      </c>
      <c r="L131" t="s">
        <v>107</v>
      </c>
    </row>
    <row r="132" spans="1:12" ht="15" x14ac:dyDescent="0.25">
      <c r="A132" s="5">
        <v>45755</v>
      </c>
      <c r="B132" t="s">
        <v>9</v>
      </c>
      <c r="C132">
        <v>2.0499999999999998</v>
      </c>
      <c r="D132" s="5">
        <v>46888</v>
      </c>
      <c r="E132">
        <v>3</v>
      </c>
      <c r="F132" t="s">
        <v>76</v>
      </c>
      <c r="G132">
        <v>100000000</v>
      </c>
      <c r="H132">
        <v>0.35</v>
      </c>
      <c r="I132">
        <f t="shared" si="2"/>
        <v>2.2780999999999998</v>
      </c>
      <c r="J132" t="s">
        <v>93</v>
      </c>
      <c r="K132">
        <v>3</v>
      </c>
      <c r="L132" t="s">
        <v>108</v>
      </c>
    </row>
    <row r="133" spans="1:12" ht="15" x14ac:dyDescent="0.25">
      <c r="A133" s="5">
        <v>45755</v>
      </c>
      <c r="B133" t="s">
        <v>9</v>
      </c>
      <c r="C133">
        <v>2.0499999999999998</v>
      </c>
      <c r="D133" s="5">
        <v>46888</v>
      </c>
      <c r="E133">
        <v>3</v>
      </c>
      <c r="F133" t="s">
        <v>76</v>
      </c>
      <c r="G133">
        <v>100000000</v>
      </c>
      <c r="H133">
        <v>0.54</v>
      </c>
      <c r="I133">
        <f t="shared" si="2"/>
        <v>2.4680999999999997</v>
      </c>
      <c r="J133" t="s">
        <v>94</v>
      </c>
      <c r="K133">
        <v>3</v>
      </c>
      <c r="L133" t="s">
        <v>109</v>
      </c>
    </row>
    <row r="134" spans="1:12" ht="15" x14ac:dyDescent="0.25">
      <c r="A134" s="5">
        <v>45755</v>
      </c>
      <c r="B134" t="s">
        <v>60</v>
      </c>
      <c r="C134">
        <v>2.5</v>
      </c>
      <c r="D134" s="5">
        <v>46882</v>
      </c>
      <c r="E134">
        <v>3</v>
      </c>
      <c r="F134" t="s">
        <v>76</v>
      </c>
      <c r="G134">
        <v>5000000</v>
      </c>
      <c r="H134">
        <v>0.35</v>
      </c>
      <c r="I134">
        <f t="shared" si="2"/>
        <v>2.2780999999999998</v>
      </c>
      <c r="J134" t="s">
        <v>92</v>
      </c>
      <c r="K134">
        <v>3</v>
      </c>
      <c r="L134" t="s">
        <v>107</v>
      </c>
    </row>
    <row r="135" spans="1:12" ht="15" x14ac:dyDescent="0.25">
      <c r="A135" s="5">
        <v>45755</v>
      </c>
      <c r="B135" t="s">
        <v>60</v>
      </c>
      <c r="C135">
        <v>2.5</v>
      </c>
      <c r="D135" s="5">
        <v>46882</v>
      </c>
      <c r="E135">
        <v>3</v>
      </c>
      <c r="F135" t="s">
        <v>76</v>
      </c>
      <c r="G135">
        <v>5000000</v>
      </c>
      <c r="H135">
        <v>0.35</v>
      </c>
      <c r="I135">
        <f t="shared" si="2"/>
        <v>2.2780999999999998</v>
      </c>
      <c r="J135" t="s">
        <v>93</v>
      </c>
      <c r="K135">
        <v>3</v>
      </c>
      <c r="L135" t="s">
        <v>108</v>
      </c>
    </row>
    <row r="136" spans="1:12" ht="15" x14ac:dyDescent="0.25">
      <c r="A136" s="5">
        <v>45755</v>
      </c>
      <c r="B136" t="s">
        <v>60</v>
      </c>
      <c r="C136">
        <v>2.5</v>
      </c>
      <c r="D136" s="5">
        <v>46882</v>
      </c>
      <c r="E136">
        <v>3</v>
      </c>
      <c r="F136" t="s">
        <v>76</v>
      </c>
      <c r="G136">
        <v>5000000</v>
      </c>
      <c r="H136">
        <v>0.54</v>
      </c>
      <c r="I136">
        <f t="shared" si="2"/>
        <v>2.4680999999999997</v>
      </c>
      <c r="J136" t="s">
        <v>94</v>
      </c>
      <c r="K136">
        <v>3</v>
      </c>
      <c r="L136" t="s">
        <v>109</v>
      </c>
    </row>
    <row r="137" spans="1:12" ht="15" x14ac:dyDescent="0.25">
      <c r="A137" s="5">
        <v>45754</v>
      </c>
      <c r="B137" t="s">
        <v>61</v>
      </c>
      <c r="C137">
        <v>10</v>
      </c>
      <c r="D137" s="5">
        <v>47025</v>
      </c>
      <c r="E137">
        <v>3</v>
      </c>
      <c r="F137" t="s">
        <v>76</v>
      </c>
      <c r="G137">
        <v>50000000</v>
      </c>
      <c r="H137">
        <v>0.35</v>
      </c>
      <c r="I137">
        <f t="shared" si="2"/>
        <v>2.2780999999999998</v>
      </c>
      <c r="J137" t="s">
        <v>92</v>
      </c>
      <c r="K137">
        <v>3</v>
      </c>
      <c r="L137" t="s">
        <v>107</v>
      </c>
    </row>
    <row r="138" spans="1:12" ht="15" x14ac:dyDescent="0.25">
      <c r="A138" s="5">
        <v>45754</v>
      </c>
      <c r="B138" t="s">
        <v>61</v>
      </c>
      <c r="C138">
        <v>10</v>
      </c>
      <c r="D138" s="5">
        <v>47025</v>
      </c>
      <c r="E138">
        <v>3</v>
      </c>
      <c r="F138" t="s">
        <v>76</v>
      </c>
      <c r="G138">
        <v>50000000</v>
      </c>
      <c r="H138">
        <v>0.35</v>
      </c>
      <c r="I138">
        <f t="shared" si="2"/>
        <v>2.2780999999999998</v>
      </c>
      <c r="J138" t="s">
        <v>93</v>
      </c>
      <c r="K138">
        <v>3</v>
      </c>
      <c r="L138" t="s">
        <v>108</v>
      </c>
    </row>
    <row r="139" spans="1:12" ht="15" x14ac:dyDescent="0.25">
      <c r="A139" s="5">
        <v>45754</v>
      </c>
      <c r="B139" t="s">
        <v>61</v>
      </c>
      <c r="C139">
        <v>10</v>
      </c>
      <c r="D139" s="5">
        <v>47025</v>
      </c>
      <c r="E139">
        <v>3</v>
      </c>
      <c r="F139" t="s">
        <v>76</v>
      </c>
      <c r="G139">
        <v>50000000</v>
      </c>
      <c r="H139">
        <v>0.54</v>
      </c>
      <c r="I139">
        <f t="shared" si="2"/>
        <v>2.4680999999999997</v>
      </c>
      <c r="J139" t="s">
        <v>94</v>
      </c>
      <c r="K139">
        <v>3</v>
      </c>
      <c r="L139" t="s">
        <v>109</v>
      </c>
    </row>
    <row r="140" spans="1:12" ht="15" x14ac:dyDescent="0.25">
      <c r="A140" s="5">
        <v>45754</v>
      </c>
      <c r="B140" t="s">
        <v>62</v>
      </c>
      <c r="C140">
        <v>5</v>
      </c>
      <c r="D140" s="5">
        <v>46850</v>
      </c>
      <c r="E140">
        <v>3</v>
      </c>
      <c r="F140" t="s">
        <v>76</v>
      </c>
      <c r="G140">
        <v>5000000</v>
      </c>
      <c r="H140">
        <v>0.35</v>
      </c>
      <c r="I140">
        <f t="shared" si="2"/>
        <v>2.2780999999999998</v>
      </c>
      <c r="J140" t="s">
        <v>92</v>
      </c>
      <c r="K140">
        <v>3</v>
      </c>
      <c r="L140" t="s">
        <v>107</v>
      </c>
    </row>
    <row r="141" spans="1:12" ht="15" x14ac:dyDescent="0.25">
      <c r="A141" s="5">
        <v>45754</v>
      </c>
      <c r="B141" t="s">
        <v>62</v>
      </c>
      <c r="C141">
        <v>5</v>
      </c>
      <c r="D141" s="5">
        <v>46850</v>
      </c>
      <c r="E141">
        <v>3</v>
      </c>
      <c r="F141" t="s">
        <v>76</v>
      </c>
      <c r="G141">
        <v>5000000</v>
      </c>
      <c r="H141">
        <v>0.35</v>
      </c>
      <c r="I141">
        <f t="shared" si="2"/>
        <v>2.2780999999999998</v>
      </c>
      <c r="J141" t="s">
        <v>93</v>
      </c>
      <c r="K141">
        <v>3</v>
      </c>
      <c r="L141" t="s">
        <v>108</v>
      </c>
    </row>
    <row r="142" spans="1:12" ht="15" x14ac:dyDescent="0.25">
      <c r="A142" s="5">
        <v>45754</v>
      </c>
      <c r="B142" t="s">
        <v>62</v>
      </c>
      <c r="C142">
        <v>5</v>
      </c>
      <c r="D142" s="5">
        <v>46850</v>
      </c>
      <c r="E142">
        <v>3</v>
      </c>
      <c r="F142" t="s">
        <v>76</v>
      </c>
      <c r="G142">
        <v>5000000</v>
      </c>
      <c r="H142">
        <v>0.54</v>
      </c>
      <c r="I142">
        <f t="shared" si="2"/>
        <v>2.4680999999999997</v>
      </c>
      <c r="J142" t="s">
        <v>94</v>
      </c>
      <c r="K142">
        <v>3</v>
      </c>
      <c r="L142" t="s">
        <v>109</v>
      </c>
    </row>
    <row r="143" spans="1:12" ht="15" x14ac:dyDescent="0.25">
      <c r="A143" s="5">
        <v>45751</v>
      </c>
      <c r="B143" t="s">
        <v>31</v>
      </c>
      <c r="C143">
        <v>2.57</v>
      </c>
      <c r="D143" s="5">
        <v>46853</v>
      </c>
      <c r="E143">
        <v>3</v>
      </c>
      <c r="F143" t="s">
        <v>76</v>
      </c>
      <c r="G143">
        <v>24000000</v>
      </c>
      <c r="H143">
        <v>0.35</v>
      </c>
      <c r="I143">
        <f t="shared" si="2"/>
        <v>2.2780999999999998</v>
      </c>
      <c r="J143" t="s">
        <v>92</v>
      </c>
      <c r="K143">
        <v>3</v>
      </c>
      <c r="L143" t="s">
        <v>107</v>
      </c>
    </row>
    <row r="144" spans="1:12" ht="15" x14ac:dyDescent="0.25">
      <c r="A144" s="5">
        <v>45751</v>
      </c>
      <c r="B144" t="s">
        <v>31</v>
      </c>
      <c r="C144">
        <v>2.57</v>
      </c>
      <c r="D144" s="5">
        <v>46853</v>
      </c>
      <c r="E144">
        <v>3</v>
      </c>
      <c r="F144" t="s">
        <v>76</v>
      </c>
      <c r="G144">
        <v>24000000</v>
      </c>
      <c r="H144">
        <v>0.35</v>
      </c>
      <c r="I144">
        <f t="shared" si="2"/>
        <v>2.2780999999999998</v>
      </c>
      <c r="J144" t="s">
        <v>93</v>
      </c>
      <c r="K144">
        <v>3</v>
      </c>
      <c r="L144" t="s">
        <v>108</v>
      </c>
    </row>
    <row r="145" spans="1:12" ht="15" x14ac:dyDescent="0.25">
      <c r="A145" s="5">
        <v>45751</v>
      </c>
      <c r="B145" t="s">
        <v>31</v>
      </c>
      <c r="C145">
        <v>2.57</v>
      </c>
      <c r="D145" s="5">
        <v>46853</v>
      </c>
      <c r="E145">
        <v>3</v>
      </c>
      <c r="F145" t="s">
        <v>76</v>
      </c>
      <c r="G145">
        <v>24000000</v>
      </c>
      <c r="H145">
        <v>0.54</v>
      </c>
      <c r="I145">
        <f t="shared" si="2"/>
        <v>2.4680999999999997</v>
      </c>
      <c r="J145" t="s">
        <v>94</v>
      </c>
      <c r="K145">
        <v>3</v>
      </c>
      <c r="L145" t="s">
        <v>109</v>
      </c>
    </row>
    <row r="146" spans="1:12" ht="15" x14ac:dyDescent="0.25">
      <c r="A146" s="5">
        <v>45749</v>
      </c>
      <c r="B146" t="s">
        <v>66</v>
      </c>
      <c r="C146">
        <v>2.2999999999999998</v>
      </c>
      <c r="D146" s="5">
        <v>46867</v>
      </c>
      <c r="E146">
        <v>3</v>
      </c>
      <c r="F146" t="s">
        <v>76</v>
      </c>
      <c r="G146">
        <v>20000000</v>
      </c>
      <c r="H146">
        <v>0.35</v>
      </c>
      <c r="I146">
        <f t="shared" si="2"/>
        <v>2.2780999999999998</v>
      </c>
      <c r="J146" t="s">
        <v>92</v>
      </c>
      <c r="K146">
        <v>3</v>
      </c>
      <c r="L146" t="s">
        <v>107</v>
      </c>
    </row>
    <row r="147" spans="1:12" ht="15" x14ac:dyDescent="0.25">
      <c r="A147" s="5">
        <v>45749</v>
      </c>
      <c r="B147" t="s">
        <v>66</v>
      </c>
      <c r="C147">
        <v>2.2999999999999998</v>
      </c>
      <c r="D147" s="5">
        <v>46867</v>
      </c>
      <c r="E147">
        <v>3</v>
      </c>
      <c r="F147" t="s">
        <v>76</v>
      </c>
      <c r="G147">
        <v>20000000</v>
      </c>
      <c r="H147">
        <v>0.35</v>
      </c>
      <c r="I147">
        <f t="shared" si="2"/>
        <v>2.2780999999999998</v>
      </c>
      <c r="J147" t="s">
        <v>93</v>
      </c>
      <c r="K147">
        <v>3</v>
      </c>
      <c r="L147" t="s">
        <v>108</v>
      </c>
    </row>
    <row r="148" spans="1:12" ht="15" x14ac:dyDescent="0.25">
      <c r="A148" s="5">
        <v>45749</v>
      </c>
      <c r="B148" t="s">
        <v>66</v>
      </c>
      <c r="C148">
        <v>2.2999999999999998</v>
      </c>
      <c r="D148" s="5">
        <v>46867</v>
      </c>
      <c r="E148">
        <v>3</v>
      </c>
      <c r="F148" t="s">
        <v>76</v>
      </c>
      <c r="G148">
        <v>20000000</v>
      </c>
      <c r="H148">
        <v>0.54</v>
      </c>
      <c r="I148">
        <f t="shared" ref="I148:I154" si="3">H148+1.9281</f>
        <v>2.4680999999999997</v>
      </c>
      <c r="J148" t="s">
        <v>94</v>
      </c>
      <c r="K148">
        <v>3</v>
      </c>
      <c r="L148" t="s">
        <v>109</v>
      </c>
    </row>
    <row r="149" spans="1:12" ht="15" x14ac:dyDescent="0.25">
      <c r="A149" s="5">
        <v>45748</v>
      </c>
      <c r="B149" t="s">
        <v>31</v>
      </c>
      <c r="C149">
        <v>2.3199999999999998</v>
      </c>
      <c r="D149" s="5">
        <v>46667</v>
      </c>
      <c r="E149">
        <v>3</v>
      </c>
      <c r="F149" t="s">
        <v>76</v>
      </c>
      <c r="G149">
        <v>24000000</v>
      </c>
      <c r="H149">
        <v>0.35</v>
      </c>
      <c r="I149">
        <f t="shared" si="3"/>
        <v>2.2780999999999998</v>
      </c>
      <c r="J149" t="s">
        <v>92</v>
      </c>
      <c r="K149">
        <v>3</v>
      </c>
      <c r="L149" t="s">
        <v>107</v>
      </c>
    </row>
    <row r="150" spans="1:12" ht="15" x14ac:dyDescent="0.25">
      <c r="A150" s="5">
        <v>45748</v>
      </c>
      <c r="B150" t="s">
        <v>31</v>
      </c>
      <c r="C150">
        <v>2.3199999999999998</v>
      </c>
      <c r="D150" s="5">
        <v>46667</v>
      </c>
      <c r="E150">
        <v>3</v>
      </c>
      <c r="F150" t="s">
        <v>76</v>
      </c>
      <c r="G150">
        <v>24000000</v>
      </c>
      <c r="H150">
        <v>0.35</v>
      </c>
      <c r="I150">
        <f t="shared" si="3"/>
        <v>2.2780999999999998</v>
      </c>
      <c r="J150" t="s">
        <v>93</v>
      </c>
      <c r="K150">
        <v>3</v>
      </c>
      <c r="L150" t="s">
        <v>108</v>
      </c>
    </row>
    <row r="151" spans="1:12" ht="15" x14ac:dyDescent="0.25">
      <c r="A151" s="5">
        <v>45748</v>
      </c>
      <c r="B151" t="s">
        <v>31</v>
      </c>
      <c r="C151">
        <v>2.3199999999999998</v>
      </c>
      <c r="D151" s="5">
        <v>46667</v>
      </c>
      <c r="E151">
        <v>3</v>
      </c>
      <c r="F151" t="s">
        <v>76</v>
      </c>
      <c r="G151">
        <v>24000000</v>
      </c>
      <c r="H151">
        <v>0.59</v>
      </c>
      <c r="I151">
        <f t="shared" si="3"/>
        <v>2.5181</v>
      </c>
      <c r="J151" t="s">
        <v>94</v>
      </c>
      <c r="K151">
        <v>3</v>
      </c>
      <c r="L151" t="s">
        <v>109</v>
      </c>
    </row>
    <row r="152" spans="1:12" ht="15" x14ac:dyDescent="0.25">
      <c r="A152" s="5">
        <v>45748</v>
      </c>
      <c r="B152" t="s">
        <v>75</v>
      </c>
      <c r="C152">
        <v>2.25</v>
      </c>
      <c r="D152" s="5">
        <v>46844</v>
      </c>
      <c r="E152">
        <v>3</v>
      </c>
      <c r="F152" t="s">
        <v>76</v>
      </c>
      <c r="G152">
        <v>5000000</v>
      </c>
      <c r="H152">
        <v>0.35</v>
      </c>
      <c r="I152">
        <f t="shared" si="3"/>
        <v>2.2780999999999998</v>
      </c>
      <c r="J152" t="s">
        <v>92</v>
      </c>
      <c r="K152">
        <v>3</v>
      </c>
      <c r="L152" t="s">
        <v>107</v>
      </c>
    </row>
    <row r="153" spans="1:12" ht="15" x14ac:dyDescent="0.25">
      <c r="A153" s="5">
        <v>45748</v>
      </c>
      <c r="B153" t="s">
        <v>75</v>
      </c>
      <c r="C153">
        <v>2.25</v>
      </c>
      <c r="D153" s="5">
        <v>46844</v>
      </c>
      <c r="E153">
        <v>3</v>
      </c>
      <c r="F153" t="s">
        <v>76</v>
      </c>
      <c r="G153">
        <v>5000000</v>
      </c>
      <c r="H153">
        <v>0.35</v>
      </c>
      <c r="I153">
        <f t="shared" si="3"/>
        <v>2.2780999999999998</v>
      </c>
      <c r="J153" t="s">
        <v>93</v>
      </c>
      <c r="K153">
        <v>3</v>
      </c>
      <c r="L153" t="s">
        <v>108</v>
      </c>
    </row>
    <row r="154" spans="1:12" ht="15" x14ac:dyDescent="0.25">
      <c r="A154" s="5">
        <v>45748</v>
      </c>
      <c r="B154" t="s">
        <v>75</v>
      </c>
      <c r="C154">
        <v>2.25</v>
      </c>
      <c r="D154" s="5">
        <v>46844</v>
      </c>
      <c r="E154">
        <v>3</v>
      </c>
      <c r="F154" t="s">
        <v>76</v>
      </c>
      <c r="G154">
        <v>5000000</v>
      </c>
      <c r="H154">
        <v>0.59</v>
      </c>
      <c r="I154">
        <f t="shared" si="3"/>
        <v>2.5181</v>
      </c>
      <c r="J154" t="s">
        <v>94</v>
      </c>
      <c r="K154">
        <v>3</v>
      </c>
      <c r="L154" t="s">
        <v>109</v>
      </c>
    </row>
    <row r="155" spans="1:12" ht="15" x14ac:dyDescent="0.25">
      <c r="A155" s="5">
        <v>45777</v>
      </c>
      <c r="B155" t="s">
        <v>9</v>
      </c>
      <c r="C155">
        <v>2.4</v>
      </c>
      <c r="D155" s="5">
        <v>47281</v>
      </c>
      <c r="E155">
        <v>4</v>
      </c>
      <c r="F155" t="s">
        <v>76</v>
      </c>
      <c r="G155">
        <v>100000000</v>
      </c>
      <c r="H155">
        <v>0.4</v>
      </c>
      <c r="I155">
        <f>H155+2.0363</f>
        <v>2.4363000000000001</v>
      </c>
      <c r="J155" t="s">
        <v>81</v>
      </c>
      <c r="K155">
        <v>4</v>
      </c>
      <c r="L155" t="s">
        <v>108</v>
      </c>
    </row>
    <row r="156" spans="1:12" ht="15" x14ac:dyDescent="0.25">
      <c r="A156" s="5">
        <v>45777</v>
      </c>
      <c r="B156" t="s">
        <v>9</v>
      </c>
      <c r="C156">
        <v>2.4</v>
      </c>
      <c r="D156" s="5">
        <v>47281</v>
      </c>
      <c r="E156">
        <v>4</v>
      </c>
      <c r="F156" t="s">
        <v>76</v>
      </c>
      <c r="G156">
        <v>100000000</v>
      </c>
      <c r="H156">
        <v>0.61</v>
      </c>
      <c r="I156">
        <f t="shared" ref="I156:I178" si="4">H156+2.0363</f>
        <v>2.6463000000000001</v>
      </c>
      <c r="J156" t="s">
        <v>82</v>
      </c>
      <c r="K156">
        <v>4</v>
      </c>
      <c r="L156" t="s">
        <v>109</v>
      </c>
    </row>
    <row r="157" spans="1:12" ht="15" x14ac:dyDescent="0.25">
      <c r="A157" s="5">
        <v>45776</v>
      </c>
      <c r="B157" t="s">
        <v>9</v>
      </c>
      <c r="C157">
        <v>2.25</v>
      </c>
      <c r="D157" s="5">
        <v>47281</v>
      </c>
      <c r="E157">
        <v>4</v>
      </c>
      <c r="F157" t="s">
        <v>76</v>
      </c>
      <c r="G157">
        <v>100000000</v>
      </c>
      <c r="H157">
        <v>0.4</v>
      </c>
      <c r="I157">
        <f t="shared" si="4"/>
        <v>2.4363000000000001</v>
      </c>
      <c r="J157" t="s">
        <v>81</v>
      </c>
      <c r="K157">
        <v>4</v>
      </c>
      <c r="L157" t="s">
        <v>108</v>
      </c>
    </row>
    <row r="158" spans="1:12" ht="15" x14ac:dyDescent="0.25">
      <c r="A158" s="5">
        <v>45776</v>
      </c>
      <c r="B158" t="s">
        <v>9</v>
      </c>
      <c r="C158">
        <v>2.25</v>
      </c>
      <c r="D158" s="5">
        <v>47281</v>
      </c>
      <c r="E158">
        <v>4</v>
      </c>
      <c r="F158" t="s">
        <v>76</v>
      </c>
      <c r="G158">
        <v>100000000</v>
      </c>
      <c r="H158">
        <v>0.61</v>
      </c>
      <c r="I158">
        <f t="shared" si="4"/>
        <v>2.6463000000000001</v>
      </c>
      <c r="J158" t="s">
        <v>82</v>
      </c>
      <c r="K158">
        <v>4</v>
      </c>
      <c r="L158" t="s">
        <v>109</v>
      </c>
    </row>
    <row r="159" spans="1:12" ht="15" x14ac:dyDescent="0.25">
      <c r="A159" s="5">
        <v>45770</v>
      </c>
      <c r="B159" t="s">
        <v>25</v>
      </c>
      <c r="C159">
        <v>2.5</v>
      </c>
      <c r="D159" s="5">
        <v>47411</v>
      </c>
      <c r="E159">
        <v>4</v>
      </c>
      <c r="F159" t="s">
        <v>76</v>
      </c>
      <c r="G159">
        <v>2.3955E+16</v>
      </c>
      <c r="H159">
        <v>0.4</v>
      </c>
      <c r="I159">
        <f t="shared" si="4"/>
        <v>2.4363000000000001</v>
      </c>
      <c r="J159" t="s">
        <v>81</v>
      </c>
      <c r="K159">
        <v>4</v>
      </c>
      <c r="L159" t="s">
        <v>108</v>
      </c>
    </row>
    <row r="160" spans="1:12" ht="15" x14ac:dyDescent="0.25">
      <c r="A160" s="5">
        <v>45770</v>
      </c>
      <c r="B160" t="s">
        <v>25</v>
      </c>
      <c r="C160">
        <v>2.5</v>
      </c>
      <c r="D160" s="5">
        <v>47411</v>
      </c>
      <c r="E160">
        <v>4</v>
      </c>
      <c r="F160" t="s">
        <v>76</v>
      </c>
      <c r="G160">
        <v>2.3955E+16</v>
      </c>
      <c r="H160">
        <v>0.61</v>
      </c>
      <c r="I160">
        <f t="shared" si="4"/>
        <v>2.6463000000000001</v>
      </c>
      <c r="J160" t="s">
        <v>82</v>
      </c>
      <c r="K160">
        <v>4</v>
      </c>
      <c r="L160" t="s">
        <v>109</v>
      </c>
    </row>
    <row r="161" spans="1:12" ht="15" x14ac:dyDescent="0.25">
      <c r="A161" s="5">
        <v>45770</v>
      </c>
      <c r="B161" t="s">
        <v>32</v>
      </c>
      <c r="C161">
        <v>2.5</v>
      </c>
      <c r="D161" s="5">
        <v>47266</v>
      </c>
      <c r="E161">
        <v>4</v>
      </c>
      <c r="F161" t="s">
        <v>76</v>
      </c>
      <c r="G161">
        <v>20000000</v>
      </c>
      <c r="H161">
        <v>0.4</v>
      </c>
      <c r="I161">
        <f t="shared" si="4"/>
        <v>2.4363000000000001</v>
      </c>
      <c r="J161" t="s">
        <v>81</v>
      </c>
      <c r="K161">
        <v>4</v>
      </c>
      <c r="L161" t="s">
        <v>108</v>
      </c>
    </row>
    <row r="162" spans="1:12" ht="15" x14ac:dyDescent="0.25">
      <c r="A162" s="5">
        <v>45770</v>
      </c>
      <c r="B162" t="s">
        <v>32</v>
      </c>
      <c r="C162">
        <v>2.5</v>
      </c>
      <c r="D162" s="5">
        <v>47266</v>
      </c>
      <c r="E162">
        <v>4</v>
      </c>
      <c r="F162" t="s">
        <v>76</v>
      </c>
      <c r="G162">
        <v>20000000</v>
      </c>
      <c r="H162">
        <v>0.61</v>
      </c>
      <c r="I162">
        <f t="shared" si="4"/>
        <v>2.6463000000000001</v>
      </c>
      <c r="J162" t="s">
        <v>82</v>
      </c>
      <c r="K162">
        <v>4</v>
      </c>
      <c r="L162" t="s">
        <v>109</v>
      </c>
    </row>
    <row r="163" spans="1:12" ht="15" x14ac:dyDescent="0.25">
      <c r="A163" s="5">
        <v>45769</v>
      </c>
      <c r="B163" t="s">
        <v>32</v>
      </c>
      <c r="C163">
        <v>2.2000000000000002</v>
      </c>
      <c r="D163" s="5">
        <v>47266</v>
      </c>
      <c r="E163">
        <v>4</v>
      </c>
      <c r="F163" t="s">
        <v>76</v>
      </c>
      <c r="G163">
        <v>20000000</v>
      </c>
      <c r="H163">
        <v>0.4</v>
      </c>
      <c r="I163">
        <f t="shared" si="4"/>
        <v>2.4363000000000001</v>
      </c>
      <c r="J163" t="s">
        <v>81</v>
      </c>
      <c r="K163">
        <v>4</v>
      </c>
      <c r="L163" t="s">
        <v>108</v>
      </c>
    </row>
    <row r="164" spans="1:12" ht="15" x14ac:dyDescent="0.25">
      <c r="A164" s="5">
        <v>45769</v>
      </c>
      <c r="B164" t="s">
        <v>32</v>
      </c>
      <c r="C164">
        <v>2.2000000000000002</v>
      </c>
      <c r="D164" s="5">
        <v>47266</v>
      </c>
      <c r="E164">
        <v>4</v>
      </c>
      <c r="F164" t="s">
        <v>76</v>
      </c>
      <c r="G164">
        <v>20000000</v>
      </c>
      <c r="H164">
        <v>0.61</v>
      </c>
      <c r="I164">
        <f t="shared" si="4"/>
        <v>2.6463000000000001</v>
      </c>
      <c r="J164" t="s">
        <v>82</v>
      </c>
      <c r="K164">
        <v>4</v>
      </c>
      <c r="L164" t="s">
        <v>109</v>
      </c>
    </row>
    <row r="165" spans="1:12" ht="15" x14ac:dyDescent="0.25">
      <c r="A165" s="5">
        <v>45763</v>
      </c>
      <c r="B165" t="s">
        <v>41</v>
      </c>
      <c r="C165">
        <v>3</v>
      </c>
      <c r="D165" s="5">
        <v>47130</v>
      </c>
      <c r="E165">
        <v>4</v>
      </c>
      <c r="F165" t="s">
        <v>76</v>
      </c>
      <c r="G165">
        <v>25000000</v>
      </c>
      <c r="H165">
        <v>0.4</v>
      </c>
      <c r="I165">
        <f t="shared" si="4"/>
        <v>2.4363000000000001</v>
      </c>
      <c r="J165" t="s">
        <v>81</v>
      </c>
      <c r="K165">
        <v>4</v>
      </c>
      <c r="L165" t="s">
        <v>108</v>
      </c>
    </row>
    <row r="166" spans="1:12" ht="15" x14ac:dyDescent="0.25">
      <c r="A166" s="5">
        <v>45763</v>
      </c>
      <c r="B166" t="s">
        <v>41</v>
      </c>
      <c r="C166">
        <v>3</v>
      </c>
      <c r="D166" s="5">
        <v>47130</v>
      </c>
      <c r="E166">
        <v>4</v>
      </c>
      <c r="F166" t="s">
        <v>76</v>
      </c>
      <c r="G166">
        <v>25000000</v>
      </c>
      <c r="H166">
        <v>0.61</v>
      </c>
      <c r="I166">
        <f t="shared" si="4"/>
        <v>2.6463000000000001</v>
      </c>
      <c r="J166" t="s">
        <v>82</v>
      </c>
      <c r="K166">
        <v>4</v>
      </c>
      <c r="L166" t="s">
        <v>109</v>
      </c>
    </row>
    <row r="167" spans="1:12" ht="15" x14ac:dyDescent="0.25">
      <c r="A167" s="5">
        <v>45763</v>
      </c>
      <c r="B167" t="s">
        <v>43</v>
      </c>
      <c r="C167">
        <v>3.875</v>
      </c>
      <c r="D167" s="5">
        <v>47189</v>
      </c>
      <c r="E167">
        <v>4</v>
      </c>
      <c r="F167" t="s">
        <v>76</v>
      </c>
      <c r="G167" t="s">
        <v>77</v>
      </c>
      <c r="H167">
        <v>0.4</v>
      </c>
      <c r="I167">
        <f t="shared" si="4"/>
        <v>2.4363000000000001</v>
      </c>
      <c r="J167" t="s">
        <v>81</v>
      </c>
      <c r="K167">
        <v>4</v>
      </c>
      <c r="L167" t="s">
        <v>108</v>
      </c>
    </row>
    <row r="168" spans="1:12" ht="15" x14ac:dyDescent="0.25">
      <c r="A168" s="5">
        <v>45763</v>
      </c>
      <c r="B168" t="s">
        <v>43</v>
      </c>
      <c r="C168">
        <v>3.875</v>
      </c>
      <c r="D168" s="5">
        <v>47189</v>
      </c>
      <c r="E168">
        <v>4</v>
      </c>
      <c r="F168" t="s">
        <v>76</v>
      </c>
      <c r="G168" t="s">
        <v>77</v>
      </c>
      <c r="H168">
        <v>0.61</v>
      </c>
      <c r="I168">
        <f t="shared" si="4"/>
        <v>2.6463000000000001</v>
      </c>
      <c r="J168" t="s">
        <v>82</v>
      </c>
      <c r="K168">
        <v>4</v>
      </c>
      <c r="L168" t="s">
        <v>109</v>
      </c>
    </row>
    <row r="169" spans="1:12" ht="15" x14ac:dyDescent="0.25">
      <c r="A169" s="5">
        <v>45757</v>
      </c>
      <c r="B169" t="s">
        <v>52</v>
      </c>
      <c r="C169">
        <v>3.5</v>
      </c>
      <c r="D169" s="5">
        <v>47269</v>
      </c>
      <c r="E169">
        <v>4</v>
      </c>
      <c r="F169" t="s">
        <v>76</v>
      </c>
      <c r="G169">
        <v>27510000000000</v>
      </c>
      <c r="H169">
        <v>0.4</v>
      </c>
      <c r="I169">
        <f t="shared" si="4"/>
        <v>2.4363000000000001</v>
      </c>
      <c r="J169" t="s">
        <v>81</v>
      </c>
      <c r="K169">
        <v>4</v>
      </c>
      <c r="L169" t="s">
        <v>108</v>
      </c>
    </row>
    <row r="170" spans="1:12" ht="15" x14ac:dyDescent="0.25">
      <c r="A170" s="5">
        <v>45757</v>
      </c>
      <c r="B170" t="s">
        <v>52</v>
      </c>
      <c r="C170">
        <v>3.5</v>
      </c>
      <c r="D170" s="5">
        <v>47269</v>
      </c>
      <c r="E170">
        <v>4</v>
      </c>
      <c r="F170" t="s">
        <v>76</v>
      </c>
      <c r="G170">
        <v>27510000000000</v>
      </c>
      <c r="H170">
        <v>0.61</v>
      </c>
      <c r="I170">
        <f t="shared" si="4"/>
        <v>2.6463000000000001</v>
      </c>
      <c r="J170" t="s">
        <v>82</v>
      </c>
      <c r="K170">
        <v>4</v>
      </c>
      <c r="L170" t="s">
        <v>109</v>
      </c>
    </row>
    <row r="171" spans="1:12" ht="15" x14ac:dyDescent="0.25">
      <c r="A171" s="5">
        <v>45756</v>
      </c>
      <c r="B171" t="s">
        <v>32</v>
      </c>
      <c r="C171">
        <v>2.65</v>
      </c>
      <c r="D171" s="5">
        <v>47247</v>
      </c>
      <c r="E171">
        <v>4</v>
      </c>
      <c r="F171" t="s">
        <v>76</v>
      </c>
      <c r="G171">
        <v>20000000</v>
      </c>
      <c r="H171">
        <v>0.4</v>
      </c>
      <c r="I171">
        <f t="shared" si="4"/>
        <v>2.4363000000000001</v>
      </c>
      <c r="J171" t="s">
        <v>81</v>
      </c>
      <c r="K171">
        <v>4</v>
      </c>
      <c r="L171" t="s">
        <v>108</v>
      </c>
    </row>
    <row r="172" spans="1:12" ht="15" x14ac:dyDescent="0.25">
      <c r="A172" s="5">
        <v>45756</v>
      </c>
      <c r="B172" t="s">
        <v>32</v>
      </c>
      <c r="C172">
        <v>2.65</v>
      </c>
      <c r="D172" s="5">
        <v>47247</v>
      </c>
      <c r="E172">
        <v>4</v>
      </c>
      <c r="F172" t="s">
        <v>76</v>
      </c>
      <c r="G172">
        <v>20000000</v>
      </c>
      <c r="H172">
        <v>0.61</v>
      </c>
      <c r="I172">
        <f t="shared" si="4"/>
        <v>2.6463000000000001</v>
      </c>
      <c r="J172" t="s">
        <v>82</v>
      </c>
      <c r="K172">
        <v>4</v>
      </c>
      <c r="L172" t="s">
        <v>109</v>
      </c>
    </row>
    <row r="173" spans="1:12" ht="15" x14ac:dyDescent="0.25">
      <c r="A173" s="5">
        <v>45755</v>
      </c>
      <c r="B173" t="s">
        <v>9</v>
      </c>
      <c r="C173">
        <v>2.2999999999999998</v>
      </c>
      <c r="D173" s="5">
        <v>47253</v>
      </c>
      <c r="E173">
        <v>4</v>
      </c>
      <c r="F173" t="s">
        <v>76</v>
      </c>
      <c r="G173">
        <v>100000000</v>
      </c>
      <c r="H173">
        <v>0.4</v>
      </c>
      <c r="I173">
        <f t="shared" si="4"/>
        <v>2.4363000000000001</v>
      </c>
      <c r="J173" t="s">
        <v>81</v>
      </c>
      <c r="K173">
        <v>4</v>
      </c>
      <c r="L173" t="s">
        <v>108</v>
      </c>
    </row>
    <row r="174" spans="1:12" ht="15" x14ac:dyDescent="0.25">
      <c r="A174" s="5">
        <v>45755</v>
      </c>
      <c r="B174" t="s">
        <v>9</v>
      </c>
      <c r="C174">
        <v>2.2999999999999998</v>
      </c>
      <c r="D174" s="5">
        <v>47253</v>
      </c>
      <c r="E174">
        <v>4</v>
      </c>
      <c r="F174" t="s">
        <v>76</v>
      </c>
      <c r="G174">
        <v>100000000</v>
      </c>
      <c r="H174">
        <v>0.61</v>
      </c>
      <c r="I174">
        <f t="shared" si="4"/>
        <v>2.6463000000000001</v>
      </c>
      <c r="J174" t="s">
        <v>82</v>
      </c>
      <c r="K174">
        <v>4</v>
      </c>
      <c r="L174" t="s">
        <v>109</v>
      </c>
    </row>
    <row r="175" spans="1:12" ht="15" x14ac:dyDescent="0.25">
      <c r="A175" s="5">
        <v>45755</v>
      </c>
      <c r="B175" t="s">
        <v>9</v>
      </c>
      <c r="C175">
        <v>2.5</v>
      </c>
      <c r="D175" s="5">
        <v>47253</v>
      </c>
      <c r="E175">
        <v>4</v>
      </c>
      <c r="F175" t="s">
        <v>76</v>
      </c>
      <c r="G175">
        <v>100000000</v>
      </c>
      <c r="H175">
        <v>0.4</v>
      </c>
      <c r="I175">
        <f t="shared" si="4"/>
        <v>2.4363000000000001</v>
      </c>
      <c r="J175" t="s">
        <v>81</v>
      </c>
      <c r="K175">
        <v>4</v>
      </c>
      <c r="L175" t="s">
        <v>108</v>
      </c>
    </row>
    <row r="176" spans="1:12" ht="15" x14ac:dyDescent="0.25">
      <c r="A176" s="5">
        <v>45755</v>
      </c>
      <c r="B176" t="s">
        <v>9</v>
      </c>
      <c r="C176">
        <v>2.5</v>
      </c>
      <c r="D176" s="5">
        <v>47253</v>
      </c>
      <c r="E176">
        <v>4</v>
      </c>
      <c r="F176" t="s">
        <v>76</v>
      </c>
      <c r="G176">
        <v>100000000</v>
      </c>
      <c r="H176">
        <v>0.61</v>
      </c>
      <c r="I176">
        <f t="shared" si="4"/>
        <v>2.6463000000000001</v>
      </c>
      <c r="J176" t="s">
        <v>82</v>
      </c>
      <c r="K176">
        <v>4</v>
      </c>
      <c r="L176" t="s">
        <v>109</v>
      </c>
    </row>
    <row r="177" spans="1:12" ht="15" x14ac:dyDescent="0.25">
      <c r="A177" s="5">
        <v>45749</v>
      </c>
      <c r="B177" t="s">
        <v>68</v>
      </c>
      <c r="C177">
        <v>5.5</v>
      </c>
      <c r="D177" s="5">
        <v>47089</v>
      </c>
      <c r="E177">
        <v>4</v>
      </c>
      <c r="F177" t="s">
        <v>76</v>
      </c>
      <c r="G177">
        <v>30000000</v>
      </c>
      <c r="H177">
        <v>0.4</v>
      </c>
      <c r="I177">
        <f t="shared" si="4"/>
        <v>2.4363000000000001</v>
      </c>
      <c r="J177" t="s">
        <v>81</v>
      </c>
      <c r="K177">
        <v>4</v>
      </c>
      <c r="L177" t="s">
        <v>108</v>
      </c>
    </row>
    <row r="178" spans="1:12" ht="15" x14ac:dyDescent="0.25">
      <c r="A178" s="5">
        <v>45749</v>
      </c>
      <c r="B178" t="s">
        <v>68</v>
      </c>
      <c r="C178">
        <v>5.5</v>
      </c>
      <c r="D178" s="5">
        <v>47089</v>
      </c>
      <c r="E178">
        <v>4</v>
      </c>
      <c r="F178" t="s">
        <v>76</v>
      </c>
      <c r="G178">
        <v>30000000</v>
      </c>
      <c r="H178">
        <v>0.61</v>
      </c>
      <c r="I178">
        <f t="shared" si="4"/>
        <v>2.6463000000000001</v>
      </c>
      <c r="J178" t="s">
        <v>82</v>
      </c>
      <c r="K178">
        <v>4</v>
      </c>
      <c r="L178" t="s">
        <v>109</v>
      </c>
    </row>
    <row r="179" spans="1:12" ht="15" x14ac:dyDescent="0.25">
      <c r="A179" s="5">
        <v>45776</v>
      </c>
      <c r="B179" t="s">
        <v>13</v>
      </c>
      <c r="C179">
        <v>5.375</v>
      </c>
      <c r="D179" s="5">
        <v>47779</v>
      </c>
      <c r="E179">
        <v>5</v>
      </c>
      <c r="F179" t="s">
        <v>76</v>
      </c>
      <c r="G179">
        <v>570000000</v>
      </c>
      <c r="H179">
        <v>0.42</v>
      </c>
      <c r="I179">
        <f>H179+2.1363</f>
        <v>2.5562999999999998</v>
      </c>
      <c r="J179" t="s">
        <v>86</v>
      </c>
      <c r="K179">
        <v>5</v>
      </c>
      <c r="L179" t="s">
        <v>107</v>
      </c>
    </row>
    <row r="180" spans="1:12" ht="15" x14ac:dyDescent="0.25">
      <c r="A180" s="5">
        <v>45776</v>
      </c>
      <c r="B180" t="s">
        <v>13</v>
      </c>
      <c r="C180">
        <v>5.375</v>
      </c>
      <c r="D180" s="5">
        <v>47779</v>
      </c>
      <c r="E180">
        <v>5</v>
      </c>
      <c r="F180" t="s">
        <v>76</v>
      </c>
      <c r="G180">
        <v>570000000</v>
      </c>
      <c r="H180">
        <v>0.42</v>
      </c>
      <c r="I180">
        <f t="shared" ref="I180:I232" si="5">H180+2.1363</f>
        <v>2.5562999999999998</v>
      </c>
      <c r="J180" t="s">
        <v>87</v>
      </c>
      <c r="K180">
        <v>5</v>
      </c>
      <c r="L180" t="s">
        <v>108</v>
      </c>
    </row>
    <row r="181" spans="1:12" ht="15" x14ac:dyDescent="0.25">
      <c r="A181" s="5">
        <v>45776</v>
      </c>
      <c r="B181" t="s">
        <v>13</v>
      </c>
      <c r="C181">
        <v>5.375</v>
      </c>
      <c r="D181" s="5">
        <v>47779</v>
      </c>
      <c r="E181">
        <v>5</v>
      </c>
      <c r="F181" t="s">
        <v>76</v>
      </c>
      <c r="G181">
        <v>570000000</v>
      </c>
      <c r="H181">
        <v>0.66</v>
      </c>
      <c r="I181">
        <f t="shared" si="5"/>
        <v>2.7963</v>
      </c>
      <c r="J181" t="s">
        <v>88</v>
      </c>
      <c r="K181">
        <v>5</v>
      </c>
      <c r="L181" t="s">
        <v>109</v>
      </c>
    </row>
    <row r="182" spans="1:12" ht="15" x14ac:dyDescent="0.25">
      <c r="A182" s="5">
        <v>45776</v>
      </c>
      <c r="B182" t="s">
        <v>9</v>
      </c>
      <c r="C182">
        <v>2.4</v>
      </c>
      <c r="D182" s="5">
        <v>47646</v>
      </c>
      <c r="E182">
        <v>5</v>
      </c>
      <c r="F182" t="s">
        <v>76</v>
      </c>
      <c r="G182">
        <v>100000000</v>
      </c>
      <c r="H182">
        <v>0.42</v>
      </c>
      <c r="I182">
        <f t="shared" si="5"/>
        <v>2.5562999999999998</v>
      </c>
      <c r="J182" t="s">
        <v>86</v>
      </c>
      <c r="K182">
        <v>5</v>
      </c>
      <c r="L182" t="s">
        <v>107</v>
      </c>
    </row>
    <row r="183" spans="1:12" ht="15" x14ac:dyDescent="0.25">
      <c r="A183" s="5">
        <v>45776</v>
      </c>
      <c r="B183" t="s">
        <v>9</v>
      </c>
      <c r="C183">
        <v>2.4</v>
      </c>
      <c r="D183" s="5">
        <v>47646</v>
      </c>
      <c r="E183">
        <v>5</v>
      </c>
      <c r="F183" t="s">
        <v>76</v>
      </c>
      <c r="G183">
        <v>100000000</v>
      </c>
      <c r="H183">
        <v>0.42</v>
      </c>
      <c r="I183">
        <f t="shared" si="5"/>
        <v>2.5562999999999998</v>
      </c>
      <c r="J183" t="s">
        <v>87</v>
      </c>
      <c r="K183">
        <v>5</v>
      </c>
      <c r="L183" t="s">
        <v>108</v>
      </c>
    </row>
    <row r="184" spans="1:12" ht="15" x14ac:dyDescent="0.25">
      <c r="A184" s="5">
        <v>45776</v>
      </c>
      <c r="B184" t="s">
        <v>9</v>
      </c>
      <c r="C184">
        <v>2.4</v>
      </c>
      <c r="D184" s="5">
        <v>47646</v>
      </c>
      <c r="E184">
        <v>5</v>
      </c>
      <c r="F184" t="s">
        <v>76</v>
      </c>
      <c r="G184">
        <v>100000000</v>
      </c>
      <c r="H184">
        <v>0.66</v>
      </c>
      <c r="I184">
        <f t="shared" si="5"/>
        <v>2.7963</v>
      </c>
      <c r="J184" t="s">
        <v>88</v>
      </c>
      <c r="K184">
        <v>5</v>
      </c>
      <c r="L184" t="s">
        <v>109</v>
      </c>
    </row>
    <row r="185" spans="1:12" ht="15" x14ac:dyDescent="0.25">
      <c r="A185" s="5">
        <v>45776</v>
      </c>
      <c r="B185" t="s">
        <v>19</v>
      </c>
      <c r="C185">
        <v>2.375</v>
      </c>
      <c r="D185" s="5">
        <v>47610</v>
      </c>
      <c r="E185">
        <v>5</v>
      </c>
      <c r="F185" t="s">
        <v>76</v>
      </c>
      <c r="G185">
        <v>500000000</v>
      </c>
      <c r="H185">
        <v>0.42</v>
      </c>
      <c r="I185">
        <f t="shared" si="5"/>
        <v>2.5562999999999998</v>
      </c>
      <c r="J185" t="s">
        <v>86</v>
      </c>
      <c r="K185">
        <v>5</v>
      </c>
      <c r="L185" t="s">
        <v>107</v>
      </c>
    </row>
    <row r="186" spans="1:12" ht="15" x14ac:dyDescent="0.25">
      <c r="A186" s="5">
        <v>45776</v>
      </c>
      <c r="B186" t="s">
        <v>19</v>
      </c>
      <c r="C186">
        <v>2.375</v>
      </c>
      <c r="D186" s="5">
        <v>47610</v>
      </c>
      <c r="E186">
        <v>5</v>
      </c>
      <c r="F186" t="s">
        <v>76</v>
      </c>
      <c r="G186">
        <v>500000000</v>
      </c>
      <c r="H186">
        <v>0.42</v>
      </c>
      <c r="I186">
        <f t="shared" si="5"/>
        <v>2.5562999999999998</v>
      </c>
      <c r="J186" t="s">
        <v>87</v>
      </c>
      <c r="K186">
        <v>5</v>
      </c>
      <c r="L186" t="s">
        <v>108</v>
      </c>
    </row>
    <row r="187" spans="1:12" ht="15" x14ac:dyDescent="0.25">
      <c r="A187" s="5">
        <v>45776</v>
      </c>
      <c r="B187" t="s">
        <v>19</v>
      </c>
      <c r="C187">
        <v>2.375</v>
      </c>
      <c r="D187" s="5">
        <v>47610</v>
      </c>
      <c r="E187">
        <v>5</v>
      </c>
      <c r="F187" t="s">
        <v>76</v>
      </c>
      <c r="G187">
        <v>500000000</v>
      </c>
      <c r="H187">
        <v>0.66</v>
      </c>
      <c r="I187">
        <f t="shared" si="5"/>
        <v>2.7963</v>
      </c>
      <c r="J187" t="s">
        <v>88</v>
      </c>
      <c r="K187">
        <v>5</v>
      </c>
      <c r="L187" t="s">
        <v>109</v>
      </c>
    </row>
    <row r="188" spans="1:12" ht="15" x14ac:dyDescent="0.25">
      <c r="A188" s="5">
        <v>45776</v>
      </c>
      <c r="B188" t="s">
        <v>21</v>
      </c>
      <c r="C188">
        <v>2.95</v>
      </c>
      <c r="D188" s="5">
        <v>47665</v>
      </c>
      <c r="E188">
        <v>5</v>
      </c>
      <c r="F188" t="s">
        <v>76</v>
      </c>
      <c r="G188">
        <v>12680000000000</v>
      </c>
      <c r="H188">
        <v>0.42</v>
      </c>
      <c r="I188">
        <f t="shared" si="5"/>
        <v>2.5562999999999998</v>
      </c>
      <c r="J188" t="s">
        <v>86</v>
      </c>
      <c r="K188">
        <v>5</v>
      </c>
      <c r="L188" t="s">
        <v>107</v>
      </c>
    </row>
    <row r="189" spans="1:12" ht="15" x14ac:dyDescent="0.25">
      <c r="A189" s="5">
        <v>45776</v>
      </c>
      <c r="B189" t="s">
        <v>21</v>
      </c>
      <c r="C189">
        <v>2.95</v>
      </c>
      <c r="D189" s="5">
        <v>47665</v>
      </c>
      <c r="E189">
        <v>5</v>
      </c>
      <c r="F189" t="s">
        <v>76</v>
      </c>
      <c r="G189">
        <v>12680000000000</v>
      </c>
      <c r="H189">
        <v>0.42</v>
      </c>
      <c r="I189">
        <f t="shared" si="5"/>
        <v>2.5562999999999998</v>
      </c>
      <c r="J189" t="s">
        <v>87</v>
      </c>
      <c r="K189">
        <v>5</v>
      </c>
      <c r="L189" t="s">
        <v>108</v>
      </c>
    </row>
    <row r="190" spans="1:12" ht="15" x14ac:dyDescent="0.25">
      <c r="A190" s="5">
        <v>45776</v>
      </c>
      <c r="B190" t="s">
        <v>21</v>
      </c>
      <c r="C190">
        <v>2.95</v>
      </c>
      <c r="D190" s="5">
        <v>47665</v>
      </c>
      <c r="E190">
        <v>5</v>
      </c>
      <c r="F190" t="s">
        <v>76</v>
      </c>
      <c r="G190">
        <v>12680000000000</v>
      </c>
      <c r="H190">
        <v>0.66</v>
      </c>
      <c r="I190">
        <f t="shared" si="5"/>
        <v>2.7963</v>
      </c>
      <c r="J190" t="s">
        <v>88</v>
      </c>
      <c r="K190">
        <v>5</v>
      </c>
      <c r="L190" t="s">
        <v>109</v>
      </c>
    </row>
    <row r="191" spans="1:12" ht="15" x14ac:dyDescent="0.25">
      <c r="A191" s="5">
        <v>45776</v>
      </c>
      <c r="B191" t="s">
        <v>22</v>
      </c>
      <c r="C191">
        <v>2.5</v>
      </c>
      <c r="D191" s="5">
        <v>47612</v>
      </c>
      <c r="E191">
        <v>5</v>
      </c>
      <c r="F191" t="s">
        <v>76</v>
      </c>
      <c r="G191">
        <v>50000000</v>
      </c>
      <c r="H191">
        <v>0.42</v>
      </c>
      <c r="I191">
        <f t="shared" si="5"/>
        <v>2.5562999999999998</v>
      </c>
      <c r="J191" t="s">
        <v>86</v>
      </c>
      <c r="K191">
        <v>5</v>
      </c>
      <c r="L191" t="s">
        <v>107</v>
      </c>
    </row>
    <row r="192" spans="1:12" ht="15" x14ac:dyDescent="0.25">
      <c r="A192" s="5">
        <v>45776</v>
      </c>
      <c r="B192" t="s">
        <v>22</v>
      </c>
      <c r="C192">
        <v>2.5</v>
      </c>
      <c r="D192" s="5">
        <v>47612</v>
      </c>
      <c r="E192">
        <v>5</v>
      </c>
      <c r="F192" t="s">
        <v>76</v>
      </c>
      <c r="G192">
        <v>50000000</v>
      </c>
      <c r="H192">
        <v>0.42</v>
      </c>
      <c r="I192">
        <f t="shared" si="5"/>
        <v>2.5562999999999998</v>
      </c>
      <c r="J192" t="s">
        <v>87</v>
      </c>
      <c r="K192">
        <v>5</v>
      </c>
      <c r="L192" t="s">
        <v>108</v>
      </c>
    </row>
    <row r="193" spans="1:12" ht="15" x14ac:dyDescent="0.25">
      <c r="A193" s="5">
        <v>45776</v>
      </c>
      <c r="B193" t="s">
        <v>22</v>
      </c>
      <c r="C193">
        <v>2.5</v>
      </c>
      <c r="D193" s="5">
        <v>47612</v>
      </c>
      <c r="E193">
        <v>5</v>
      </c>
      <c r="F193" t="s">
        <v>76</v>
      </c>
      <c r="G193">
        <v>50000000</v>
      </c>
      <c r="H193">
        <v>0.66</v>
      </c>
      <c r="I193">
        <f t="shared" si="5"/>
        <v>2.7963</v>
      </c>
      <c r="J193" t="s">
        <v>88</v>
      </c>
      <c r="K193">
        <v>5</v>
      </c>
      <c r="L193" t="s">
        <v>109</v>
      </c>
    </row>
    <row r="194" spans="1:12" ht="15" x14ac:dyDescent="0.25">
      <c r="A194" s="5">
        <v>45770</v>
      </c>
      <c r="B194" t="s">
        <v>32</v>
      </c>
      <c r="C194">
        <v>2.7</v>
      </c>
      <c r="D194" s="5">
        <v>47631</v>
      </c>
      <c r="E194">
        <v>5</v>
      </c>
      <c r="F194" t="s">
        <v>76</v>
      </c>
      <c r="G194">
        <v>20000000</v>
      </c>
      <c r="H194">
        <v>0.42</v>
      </c>
      <c r="I194">
        <f t="shared" si="5"/>
        <v>2.5562999999999998</v>
      </c>
      <c r="J194" t="s">
        <v>86</v>
      </c>
      <c r="K194">
        <v>5</v>
      </c>
      <c r="L194" t="s">
        <v>107</v>
      </c>
    </row>
    <row r="195" spans="1:12" ht="15" x14ac:dyDescent="0.25">
      <c r="A195" s="5">
        <v>45770</v>
      </c>
      <c r="B195" t="s">
        <v>32</v>
      </c>
      <c r="C195">
        <v>2.7</v>
      </c>
      <c r="D195" s="5">
        <v>47631</v>
      </c>
      <c r="E195">
        <v>5</v>
      </c>
      <c r="F195" t="s">
        <v>76</v>
      </c>
      <c r="G195">
        <v>20000000</v>
      </c>
      <c r="H195">
        <v>0.42</v>
      </c>
      <c r="I195">
        <f t="shared" si="5"/>
        <v>2.5562999999999998</v>
      </c>
      <c r="J195" t="s">
        <v>87</v>
      </c>
      <c r="K195">
        <v>5</v>
      </c>
      <c r="L195" t="s">
        <v>108</v>
      </c>
    </row>
    <row r="196" spans="1:12" ht="15" x14ac:dyDescent="0.25">
      <c r="A196" s="5">
        <v>45770</v>
      </c>
      <c r="B196" t="s">
        <v>32</v>
      </c>
      <c r="C196">
        <v>2.7</v>
      </c>
      <c r="D196" s="5">
        <v>47631</v>
      </c>
      <c r="E196">
        <v>5</v>
      </c>
      <c r="F196" t="s">
        <v>76</v>
      </c>
      <c r="G196">
        <v>20000000</v>
      </c>
      <c r="H196">
        <v>0.66</v>
      </c>
      <c r="I196">
        <f t="shared" si="5"/>
        <v>2.7963</v>
      </c>
      <c r="J196" t="s">
        <v>88</v>
      </c>
      <c r="K196">
        <v>5</v>
      </c>
      <c r="L196" t="s">
        <v>109</v>
      </c>
    </row>
    <row r="197" spans="1:12" ht="15" x14ac:dyDescent="0.25">
      <c r="A197" s="5">
        <v>45769</v>
      </c>
      <c r="B197" t="s">
        <v>32</v>
      </c>
      <c r="C197">
        <v>2.4</v>
      </c>
      <c r="D197" s="5">
        <v>47631</v>
      </c>
      <c r="E197">
        <v>5</v>
      </c>
      <c r="F197" t="s">
        <v>76</v>
      </c>
      <c r="G197">
        <v>20000000</v>
      </c>
      <c r="H197">
        <v>0.42</v>
      </c>
      <c r="I197">
        <f t="shared" si="5"/>
        <v>2.5562999999999998</v>
      </c>
      <c r="J197" t="s">
        <v>86</v>
      </c>
      <c r="K197">
        <v>5</v>
      </c>
      <c r="L197" t="s">
        <v>107</v>
      </c>
    </row>
    <row r="198" spans="1:12" ht="15" x14ac:dyDescent="0.25">
      <c r="A198" s="5">
        <v>45769</v>
      </c>
      <c r="B198" t="s">
        <v>32</v>
      </c>
      <c r="C198">
        <v>2.4</v>
      </c>
      <c r="D198" s="5">
        <v>47631</v>
      </c>
      <c r="E198">
        <v>5</v>
      </c>
      <c r="F198" t="s">
        <v>76</v>
      </c>
      <c r="G198">
        <v>20000000</v>
      </c>
      <c r="H198">
        <v>0.42</v>
      </c>
      <c r="I198">
        <f t="shared" si="5"/>
        <v>2.5562999999999998</v>
      </c>
      <c r="J198" t="s">
        <v>87</v>
      </c>
      <c r="K198">
        <v>5</v>
      </c>
      <c r="L198" t="s">
        <v>108</v>
      </c>
    </row>
    <row r="199" spans="1:12" ht="15" x14ac:dyDescent="0.25">
      <c r="A199" s="5">
        <v>45769</v>
      </c>
      <c r="B199" t="s">
        <v>32</v>
      </c>
      <c r="C199">
        <v>2.4</v>
      </c>
      <c r="D199" s="5">
        <v>47631</v>
      </c>
      <c r="E199">
        <v>5</v>
      </c>
      <c r="F199" t="s">
        <v>76</v>
      </c>
      <c r="G199">
        <v>20000000</v>
      </c>
      <c r="H199">
        <v>0.66</v>
      </c>
      <c r="I199">
        <f t="shared" si="5"/>
        <v>2.7963</v>
      </c>
      <c r="J199" t="s">
        <v>88</v>
      </c>
      <c r="K199">
        <v>5</v>
      </c>
      <c r="L199" t="s">
        <v>109</v>
      </c>
    </row>
    <row r="200" spans="1:12" ht="15" x14ac:dyDescent="0.25">
      <c r="A200" s="5">
        <v>45763</v>
      </c>
      <c r="B200" t="s">
        <v>42</v>
      </c>
      <c r="C200">
        <v>2.65</v>
      </c>
      <c r="D200" s="5">
        <v>47589</v>
      </c>
      <c r="E200">
        <v>5</v>
      </c>
      <c r="F200" t="s">
        <v>76</v>
      </c>
      <c r="G200">
        <v>50000000</v>
      </c>
      <c r="H200">
        <v>0.42</v>
      </c>
      <c r="I200">
        <f t="shared" si="5"/>
        <v>2.5562999999999998</v>
      </c>
      <c r="J200" t="s">
        <v>86</v>
      </c>
      <c r="K200">
        <v>5</v>
      </c>
      <c r="L200" t="s">
        <v>107</v>
      </c>
    </row>
    <row r="201" spans="1:12" ht="15" x14ac:dyDescent="0.25">
      <c r="A201" s="5">
        <v>45763</v>
      </c>
      <c r="B201" t="s">
        <v>42</v>
      </c>
      <c r="C201">
        <v>2.65</v>
      </c>
      <c r="D201" s="5">
        <v>47589</v>
      </c>
      <c r="E201">
        <v>5</v>
      </c>
      <c r="F201" t="s">
        <v>76</v>
      </c>
      <c r="G201">
        <v>50000000</v>
      </c>
      <c r="H201">
        <v>0.42</v>
      </c>
      <c r="I201">
        <f t="shared" si="5"/>
        <v>2.5562999999999998</v>
      </c>
      <c r="J201" t="s">
        <v>87</v>
      </c>
      <c r="K201">
        <v>5</v>
      </c>
      <c r="L201" t="s">
        <v>108</v>
      </c>
    </row>
    <row r="202" spans="1:12" ht="15" x14ac:dyDescent="0.25">
      <c r="A202" s="5">
        <v>45763</v>
      </c>
      <c r="B202" t="s">
        <v>42</v>
      </c>
      <c r="C202">
        <v>2.65</v>
      </c>
      <c r="D202" s="5">
        <v>47589</v>
      </c>
      <c r="E202">
        <v>5</v>
      </c>
      <c r="F202" t="s">
        <v>76</v>
      </c>
      <c r="G202">
        <v>50000000</v>
      </c>
      <c r="H202">
        <v>0.66</v>
      </c>
      <c r="I202">
        <f t="shared" si="5"/>
        <v>2.7963</v>
      </c>
      <c r="J202" t="s">
        <v>88</v>
      </c>
      <c r="K202">
        <v>5</v>
      </c>
      <c r="L202" t="s">
        <v>109</v>
      </c>
    </row>
    <row r="203" spans="1:12" ht="15" x14ac:dyDescent="0.25">
      <c r="A203" s="5">
        <v>45762</v>
      </c>
      <c r="B203" t="s">
        <v>46</v>
      </c>
      <c r="C203">
        <v>2.7</v>
      </c>
      <c r="D203" s="5">
        <v>47602</v>
      </c>
      <c r="E203">
        <v>5</v>
      </c>
      <c r="F203" t="s">
        <v>76</v>
      </c>
      <c r="G203">
        <v>50000000</v>
      </c>
      <c r="H203">
        <v>0.42</v>
      </c>
      <c r="I203">
        <f t="shared" si="5"/>
        <v>2.5562999999999998</v>
      </c>
      <c r="J203" t="s">
        <v>86</v>
      </c>
      <c r="K203">
        <v>5</v>
      </c>
      <c r="L203" t="s">
        <v>107</v>
      </c>
    </row>
    <row r="204" spans="1:12" ht="15" x14ac:dyDescent="0.25">
      <c r="A204" s="5">
        <v>45762</v>
      </c>
      <c r="B204" t="s">
        <v>46</v>
      </c>
      <c r="C204">
        <v>2.7</v>
      </c>
      <c r="D204" s="5">
        <v>47602</v>
      </c>
      <c r="E204">
        <v>5</v>
      </c>
      <c r="F204" t="s">
        <v>76</v>
      </c>
      <c r="G204">
        <v>50000000</v>
      </c>
      <c r="H204">
        <v>0.42</v>
      </c>
      <c r="I204">
        <f t="shared" si="5"/>
        <v>2.5562999999999998</v>
      </c>
      <c r="J204" t="s">
        <v>87</v>
      </c>
      <c r="K204">
        <v>5</v>
      </c>
      <c r="L204" t="s">
        <v>108</v>
      </c>
    </row>
    <row r="205" spans="1:12" ht="15" x14ac:dyDescent="0.25">
      <c r="A205" s="5">
        <v>45762</v>
      </c>
      <c r="B205" t="s">
        <v>46</v>
      </c>
      <c r="C205">
        <v>2.7</v>
      </c>
      <c r="D205" s="5">
        <v>47602</v>
      </c>
      <c r="E205">
        <v>5</v>
      </c>
      <c r="F205" t="s">
        <v>76</v>
      </c>
      <c r="G205">
        <v>50000000</v>
      </c>
      <c r="H205">
        <v>0.66</v>
      </c>
      <c r="I205">
        <f t="shared" si="5"/>
        <v>2.7963</v>
      </c>
      <c r="J205" t="s">
        <v>88</v>
      </c>
      <c r="K205">
        <v>5</v>
      </c>
      <c r="L205" t="s">
        <v>109</v>
      </c>
    </row>
    <row r="206" spans="1:12" ht="15" x14ac:dyDescent="0.25">
      <c r="A206" s="5">
        <v>45762</v>
      </c>
      <c r="B206" t="s">
        <v>47</v>
      </c>
      <c r="C206">
        <v>2.625</v>
      </c>
      <c r="D206" s="5">
        <v>47688</v>
      </c>
      <c r="E206">
        <v>5</v>
      </c>
      <c r="F206" t="s">
        <v>76</v>
      </c>
      <c r="G206">
        <v>1250000000000</v>
      </c>
      <c r="H206">
        <v>0.42</v>
      </c>
      <c r="I206">
        <f t="shared" si="5"/>
        <v>2.5562999999999998</v>
      </c>
      <c r="J206" t="s">
        <v>86</v>
      </c>
      <c r="K206">
        <v>5</v>
      </c>
      <c r="L206" t="s">
        <v>107</v>
      </c>
    </row>
    <row r="207" spans="1:12" ht="15" x14ac:dyDescent="0.25">
      <c r="A207" s="5">
        <v>45762</v>
      </c>
      <c r="B207" t="s">
        <v>47</v>
      </c>
      <c r="C207">
        <v>2.625</v>
      </c>
      <c r="D207" s="5">
        <v>47688</v>
      </c>
      <c r="E207">
        <v>5</v>
      </c>
      <c r="F207" t="s">
        <v>76</v>
      </c>
      <c r="G207">
        <v>1250000000000</v>
      </c>
      <c r="H207">
        <v>0.42</v>
      </c>
      <c r="I207">
        <f t="shared" si="5"/>
        <v>2.5562999999999998</v>
      </c>
      <c r="J207" t="s">
        <v>87</v>
      </c>
      <c r="K207">
        <v>5</v>
      </c>
      <c r="L207" t="s">
        <v>108</v>
      </c>
    </row>
    <row r="208" spans="1:12" ht="15" x14ac:dyDescent="0.25">
      <c r="A208" s="5">
        <v>45762</v>
      </c>
      <c r="B208" t="s">
        <v>47</v>
      </c>
      <c r="C208">
        <v>2.625</v>
      </c>
      <c r="D208" s="5">
        <v>47688</v>
      </c>
      <c r="E208">
        <v>5</v>
      </c>
      <c r="F208" t="s">
        <v>76</v>
      </c>
      <c r="G208">
        <v>1250000000000</v>
      </c>
      <c r="H208">
        <v>0.66</v>
      </c>
      <c r="I208">
        <f t="shared" si="5"/>
        <v>2.7963</v>
      </c>
      <c r="J208" t="s">
        <v>88</v>
      </c>
      <c r="K208">
        <v>5</v>
      </c>
      <c r="L208" t="s">
        <v>109</v>
      </c>
    </row>
    <row r="209" spans="1:12" ht="15" x14ac:dyDescent="0.25">
      <c r="A209" s="5">
        <v>45761</v>
      </c>
      <c r="B209" t="s">
        <v>9</v>
      </c>
      <c r="C209">
        <v>2.2000000000000002</v>
      </c>
      <c r="D209" s="5">
        <v>47452</v>
      </c>
      <c r="E209">
        <v>5</v>
      </c>
      <c r="F209" t="s">
        <v>76</v>
      </c>
      <c r="G209">
        <v>150000000</v>
      </c>
      <c r="H209">
        <v>0.42</v>
      </c>
      <c r="I209">
        <f t="shared" si="5"/>
        <v>2.5562999999999998</v>
      </c>
      <c r="J209" t="s">
        <v>86</v>
      </c>
      <c r="K209">
        <v>5</v>
      </c>
      <c r="L209" t="s">
        <v>107</v>
      </c>
    </row>
    <row r="210" spans="1:12" ht="15" x14ac:dyDescent="0.25">
      <c r="A210" s="5">
        <v>45761</v>
      </c>
      <c r="B210" t="s">
        <v>9</v>
      </c>
      <c r="C210">
        <v>2.2000000000000002</v>
      </c>
      <c r="D210" s="5">
        <v>47452</v>
      </c>
      <c r="E210">
        <v>5</v>
      </c>
      <c r="F210" t="s">
        <v>76</v>
      </c>
      <c r="G210">
        <v>150000000</v>
      </c>
      <c r="H210">
        <v>0.42</v>
      </c>
      <c r="I210">
        <f t="shared" si="5"/>
        <v>2.5562999999999998</v>
      </c>
      <c r="J210" t="s">
        <v>87</v>
      </c>
      <c r="K210">
        <v>5</v>
      </c>
      <c r="L210" t="s">
        <v>108</v>
      </c>
    </row>
    <row r="211" spans="1:12" ht="15" x14ac:dyDescent="0.25">
      <c r="A211" s="5">
        <v>45761</v>
      </c>
      <c r="B211" t="s">
        <v>9</v>
      </c>
      <c r="C211">
        <v>2.2000000000000002</v>
      </c>
      <c r="D211" s="5">
        <v>47452</v>
      </c>
      <c r="E211">
        <v>5</v>
      </c>
      <c r="F211" t="s">
        <v>76</v>
      </c>
      <c r="G211">
        <v>150000000</v>
      </c>
      <c r="H211">
        <v>0.66</v>
      </c>
      <c r="I211">
        <f t="shared" si="5"/>
        <v>2.7963</v>
      </c>
      <c r="J211" t="s">
        <v>88</v>
      </c>
      <c r="K211">
        <v>5</v>
      </c>
      <c r="L211" t="s">
        <v>109</v>
      </c>
    </row>
    <row r="212" spans="1:12" ht="15" x14ac:dyDescent="0.25">
      <c r="A212" s="5">
        <v>45756</v>
      </c>
      <c r="B212" t="s">
        <v>32</v>
      </c>
      <c r="C212">
        <v>2.85</v>
      </c>
      <c r="D212" s="5">
        <v>47612</v>
      </c>
      <c r="E212">
        <v>5</v>
      </c>
      <c r="F212" t="s">
        <v>76</v>
      </c>
      <c r="G212">
        <v>20000000</v>
      </c>
      <c r="H212">
        <v>0.42</v>
      </c>
      <c r="I212">
        <f t="shared" si="5"/>
        <v>2.5562999999999998</v>
      </c>
      <c r="J212" t="s">
        <v>86</v>
      </c>
      <c r="K212">
        <v>5</v>
      </c>
      <c r="L212" t="s">
        <v>107</v>
      </c>
    </row>
    <row r="213" spans="1:12" ht="15" x14ac:dyDescent="0.25">
      <c r="A213" s="5">
        <v>45756</v>
      </c>
      <c r="B213" t="s">
        <v>32</v>
      </c>
      <c r="C213">
        <v>2.85</v>
      </c>
      <c r="D213" s="5">
        <v>47612</v>
      </c>
      <c r="E213">
        <v>5</v>
      </c>
      <c r="F213" t="s">
        <v>76</v>
      </c>
      <c r="G213">
        <v>20000000</v>
      </c>
      <c r="H213">
        <v>0.42</v>
      </c>
      <c r="I213">
        <f t="shared" si="5"/>
        <v>2.5562999999999998</v>
      </c>
      <c r="J213" t="s">
        <v>87</v>
      </c>
      <c r="K213">
        <v>5</v>
      </c>
      <c r="L213" t="s">
        <v>108</v>
      </c>
    </row>
    <row r="214" spans="1:12" ht="15" x14ac:dyDescent="0.25">
      <c r="A214" s="5">
        <v>45756</v>
      </c>
      <c r="B214" t="s">
        <v>32</v>
      </c>
      <c r="C214">
        <v>2.85</v>
      </c>
      <c r="D214" s="5">
        <v>47612</v>
      </c>
      <c r="E214">
        <v>5</v>
      </c>
      <c r="F214" t="s">
        <v>76</v>
      </c>
      <c r="G214">
        <v>20000000</v>
      </c>
      <c r="H214">
        <v>0.66</v>
      </c>
      <c r="I214">
        <f t="shared" si="5"/>
        <v>2.7963</v>
      </c>
      <c r="J214" t="s">
        <v>88</v>
      </c>
      <c r="K214">
        <v>5</v>
      </c>
      <c r="L214" t="s">
        <v>109</v>
      </c>
    </row>
    <row r="215" spans="1:12" ht="15" x14ac:dyDescent="0.25">
      <c r="A215" s="5">
        <v>45756</v>
      </c>
      <c r="B215" t="s">
        <v>10</v>
      </c>
      <c r="C215">
        <v>3.875</v>
      </c>
      <c r="D215" s="5">
        <v>47529</v>
      </c>
      <c r="E215">
        <v>5</v>
      </c>
      <c r="F215" t="s">
        <v>76</v>
      </c>
      <c r="G215">
        <v>8030000000000</v>
      </c>
      <c r="H215">
        <v>0.42</v>
      </c>
      <c r="I215">
        <f t="shared" si="5"/>
        <v>2.5562999999999998</v>
      </c>
      <c r="J215" t="s">
        <v>86</v>
      </c>
      <c r="K215">
        <v>5</v>
      </c>
      <c r="L215" t="s">
        <v>107</v>
      </c>
    </row>
    <row r="216" spans="1:12" ht="15" x14ac:dyDescent="0.25">
      <c r="A216" s="5">
        <v>45756</v>
      </c>
      <c r="B216" t="s">
        <v>10</v>
      </c>
      <c r="C216">
        <v>3.875</v>
      </c>
      <c r="D216" s="5">
        <v>47529</v>
      </c>
      <c r="E216">
        <v>5</v>
      </c>
      <c r="F216" t="s">
        <v>76</v>
      </c>
      <c r="G216">
        <v>8030000000000</v>
      </c>
      <c r="H216">
        <v>0.42</v>
      </c>
      <c r="I216">
        <f t="shared" si="5"/>
        <v>2.5562999999999998</v>
      </c>
      <c r="J216" t="s">
        <v>87</v>
      </c>
      <c r="K216">
        <v>5</v>
      </c>
      <c r="L216" t="s">
        <v>108</v>
      </c>
    </row>
    <row r="217" spans="1:12" ht="15" x14ac:dyDescent="0.25">
      <c r="A217" s="5">
        <v>45756</v>
      </c>
      <c r="B217" t="s">
        <v>10</v>
      </c>
      <c r="C217">
        <v>3.875</v>
      </c>
      <c r="D217" s="5">
        <v>47529</v>
      </c>
      <c r="E217">
        <v>5</v>
      </c>
      <c r="F217" t="s">
        <v>76</v>
      </c>
      <c r="G217">
        <v>8030000000000</v>
      </c>
      <c r="H217">
        <v>0.66</v>
      </c>
      <c r="I217">
        <f t="shared" si="5"/>
        <v>2.7963</v>
      </c>
      <c r="J217" t="s">
        <v>88</v>
      </c>
      <c r="K217">
        <v>5</v>
      </c>
      <c r="L217" t="s">
        <v>109</v>
      </c>
    </row>
    <row r="218" spans="1:12" ht="15" x14ac:dyDescent="0.25">
      <c r="A218" s="5">
        <v>45755</v>
      </c>
      <c r="B218" t="s">
        <v>9</v>
      </c>
      <c r="C218">
        <v>2.5</v>
      </c>
      <c r="D218" s="5">
        <v>47618</v>
      </c>
      <c r="E218">
        <v>5</v>
      </c>
      <c r="F218" t="s">
        <v>76</v>
      </c>
      <c r="G218">
        <v>100000000</v>
      </c>
      <c r="H218">
        <v>0.42</v>
      </c>
      <c r="I218">
        <f t="shared" si="5"/>
        <v>2.5562999999999998</v>
      </c>
      <c r="J218" t="s">
        <v>86</v>
      </c>
      <c r="K218">
        <v>5</v>
      </c>
      <c r="L218" t="s">
        <v>107</v>
      </c>
    </row>
    <row r="219" spans="1:12" ht="15" x14ac:dyDescent="0.25">
      <c r="A219" s="5">
        <v>45755</v>
      </c>
      <c r="B219" t="s">
        <v>9</v>
      </c>
      <c r="C219">
        <v>2.5</v>
      </c>
      <c r="D219" s="5">
        <v>47618</v>
      </c>
      <c r="E219">
        <v>5</v>
      </c>
      <c r="F219" t="s">
        <v>76</v>
      </c>
      <c r="G219">
        <v>100000000</v>
      </c>
      <c r="H219">
        <v>0.42</v>
      </c>
      <c r="I219">
        <f t="shared" si="5"/>
        <v>2.5562999999999998</v>
      </c>
      <c r="J219" t="s">
        <v>87</v>
      </c>
      <c r="K219">
        <v>5</v>
      </c>
      <c r="L219" t="s">
        <v>108</v>
      </c>
    </row>
    <row r="220" spans="1:12" ht="15" x14ac:dyDescent="0.25">
      <c r="A220" s="5">
        <v>45755</v>
      </c>
      <c r="B220" t="s">
        <v>9</v>
      </c>
      <c r="C220">
        <v>2.5</v>
      </c>
      <c r="D220" s="5">
        <v>47618</v>
      </c>
      <c r="E220">
        <v>5</v>
      </c>
      <c r="F220" t="s">
        <v>76</v>
      </c>
      <c r="G220">
        <v>100000000</v>
      </c>
      <c r="H220">
        <v>0.66</v>
      </c>
      <c r="I220">
        <f t="shared" si="5"/>
        <v>2.7963</v>
      </c>
      <c r="J220" t="s">
        <v>88</v>
      </c>
      <c r="K220">
        <v>5</v>
      </c>
      <c r="L220" t="s">
        <v>109</v>
      </c>
    </row>
    <row r="221" spans="1:12" ht="15" x14ac:dyDescent="0.25">
      <c r="A221" s="5">
        <v>45755</v>
      </c>
      <c r="B221" t="s">
        <v>59</v>
      </c>
      <c r="C221">
        <v>2.875</v>
      </c>
      <c r="D221" s="5">
        <v>47584</v>
      </c>
      <c r="E221">
        <v>5</v>
      </c>
      <c r="F221" t="s">
        <v>76</v>
      </c>
      <c r="G221">
        <v>25000000</v>
      </c>
      <c r="H221">
        <v>0.42</v>
      </c>
      <c r="I221">
        <f t="shared" si="5"/>
        <v>2.5562999999999998</v>
      </c>
      <c r="J221" t="s">
        <v>86</v>
      </c>
      <c r="K221">
        <v>5</v>
      </c>
      <c r="L221" t="s">
        <v>107</v>
      </c>
    </row>
    <row r="222" spans="1:12" ht="15" x14ac:dyDescent="0.25">
      <c r="A222" s="5">
        <v>45755</v>
      </c>
      <c r="B222" t="s">
        <v>59</v>
      </c>
      <c r="C222">
        <v>2.875</v>
      </c>
      <c r="D222" s="5">
        <v>47584</v>
      </c>
      <c r="E222">
        <v>5</v>
      </c>
      <c r="F222" t="s">
        <v>76</v>
      </c>
      <c r="G222">
        <v>25000000</v>
      </c>
      <c r="H222">
        <v>0.42</v>
      </c>
      <c r="I222">
        <f t="shared" si="5"/>
        <v>2.5562999999999998</v>
      </c>
      <c r="J222" t="s">
        <v>87</v>
      </c>
      <c r="K222">
        <v>5</v>
      </c>
      <c r="L222" t="s">
        <v>108</v>
      </c>
    </row>
    <row r="223" spans="1:12" ht="15" x14ac:dyDescent="0.25">
      <c r="A223" s="5">
        <v>45755</v>
      </c>
      <c r="B223" t="s">
        <v>59</v>
      </c>
      <c r="C223">
        <v>2.875</v>
      </c>
      <c r="D223" s="5">
        <v>47584</v>
      </c>
      <c r="E223">
        <v>5</v>
      </c>
      <c r="F223" t="s">
        <v>76</v>
      </c>
      <c r="G223">
        <v>25000000</v>
      </c>
      <c r="H223">
        <v>0.66</v>
      </c>
      <c r="I223">
        <f t="shared" si="5"/>
        <v>2.7963</v>
      </c>
      <c r="J223" t="s">
        <v>88</v>
      </c>
      <c r="K223">
        <v>5</v>
      </c>
      <c r="L223" t="s">
        <v>109</v>
      </c>
    </row>
    <row r="224" spans="1:12" ht="15" x14ac:dyDescent="0.25">
      <c r="A224" s="5">
        <v>45751</v>
      </c>
      <c r="B224" t="s">
        <v>63</v>
      </c>
      <c r="C224">
        <v>3.6869999999999998</v>
      </c>
      <c r="D224" s="5">
        <v>47584</v>
      </c>
      <c r="E224">
        <v>5</v>
      </c>
      <c r="F224" t="s">
        <v>76</v>
      </c>
      <c r="G224">
        <v>62500000000000</v>
      </c>
      <c r="H224">
        <v>0.42</v>
      </c>
      <c r="I224">
        <f t="shared" si="5"/>
        <v>2.5562999999999998</v>
      </c>
      <c r="J224" t="s">
        <v>86</v>
      </c>
      <c r="K224">
        <v>5</v>
      </c>
      <c r="L224" t="s">
        <v>107</v>
      </c>
    </row>
    <row r="225" spans="1:12" ht="15" x14ac:dyDescent="0.25">
      <c r="A225" s="5">
        <v>45751</v>
      </c>
      <c r="B225" t="s">
        <v>63</v>
      </c>
      <c r="C225">
        <v>3.6869999999999998</v>
      </c>
      <c r="D225" s="5">
        <v>47584</v>
      </c>
      <c r="E225">
        <v>5</v>
      </c>
      <c r="F225" t="s">
        <v>76</v>
      </c>
      <c r="G225">
        <v>62500000000000</v>
      </c>
      <c r="H225">
        <v>0.42</v>
      </c>
      <c r="I225">
        <f t="shared" si="5"/>
        <v>2.5562999999999998</v>
      </c>
      <c r="J225" t="s">
        <v>87</v>
      </c>
      <c r="K225">
        <v>5</v>
      </c>
      <c r="L225" t="s">
        <v>108</v>
      </c>
    </row>
    <row r="226" spans="1:12" ht="15" x14ac:dyDescent="0.25">
      <c r="A226" s="5">
        <v>45751</v>
      </c>
      <c r="B226" t="s">
        <v>63</v>
      </c>
      <c r="C226">
        <v>3.6869999999999998</v>
      </c>
      <c r="D226" s="5">
        <v>47584</v>
      </c>
      <c r="E226">
        <v>5</v>
      </c>
      <c r="F226" t="s">
        <v>76</v>
      </c>
      <c r="G226">
        <v>62500000000000</v>
      </c>
      <c r="H226">
        <v>0.66</v>
      </c>
      <c r="I226">
        <f t="shared" si="5"/>
        <v>2.7963</v>
      </c>
      <c r="J226" t="s">
        <v>88</v>
      </c>
      <c r="K226">
        <v>5</v>
      </c>
      <c r="L226" t="s">
        <v>109</v>
      </c>
    </row>
    <row r="227" spans="1:12" ht="15" x14ac:dyDescent="0.25">
      <c r="A227" s="5">
        <v>45750</v>
      </c>
      <c r="B227" t="s">
        <v>64</v>
      </c>
      <c r="C227">
        <v>5.25</v>
      </c>
      <c r="D227" s="5">
        <v>47590</v>
      </c>
      <c r="E227">
        <v>5</v>
      </c>
      <c r="F227" t="s">
        <v>76</v>
      </c>
      <c r="G227">
        <v>126000000</v>
      </c>
      <c r="H227">
        <v>0.42</v>
      </c>
      <c r="I227">
        <f t="shared" si="5"/>
        <v>2.5562999999999998</v>
      </c>
      <c r="J227" t="s">
        <v>86</v>
      </c>
      <c r="K227">
        <v>5</v>
      </c>
      <c r="L227" t="s">
        <v>107</v>
      </c>
    </row>
    <row r="228" spans="1:12" ht="15" x14ac:dyDescent="0.25">
      <c r="A228" s="5">
        <v>45750</v>
      </c>
      <c r="B228" t="s">
        <v>64</v>
      </c>
      <c r="C228">
        <v>5.25</v>
      </c>
      <c r="D228" s="5">
        <v>47590</v>
      </c>
      <c r="E228">
        <v>5</v>
      </c>
      <c r="F228" t="s">
        <v>76</v>
      </c>
      <c r="G228">
        <v>126000000</v>
      </c>
      <c r="H228">
        <v>0.42</v>
      </c>
      <c r="I228">
        <f t="shared" si="5"/>
        <v>2.5562999999999998</v>
      </c>
      <c r="J228" t="s">
        <v>87</v>
      </c>
      <c r="K228">
        <v>5</v>
      </c>
      <c r="L228" t="s">
        <v>108</v>
      </c>
    </row>
    <row r="229" spans="1:12" ht="15" x14ac:dyDescent="0.25">
      <c r="A229" s="5">
        <v>45750</v>
      </c>
      <c r="B229" t="s">
        <v>64</v>
      </c>
      <c r="C229">
        <v>5.25</v>
      </c>
      <c r="D229" s="5">
        <v>47590</v>
      </c>
      <c r="E229">
        <v>5</v>
      </c>
      <c r="F229" t="s">
        <v>76</v>
      </c>
      <c r="G229">
        <v>126000000</v>
      </c>
      <c r="H229">
        <v>0.66</v>
      </c>
      <c r="I229">
        <f t="shared" si="5"/>
        <v>2.7963</v>
      </c>
      <c r="J229" t="s">
        <v>88</v>
      </c>
      <c r="K229">
        <v>5</v>
      </c>
      <c r="L229" t="s">
        <v>109</v>
      </c>
    </row>
    <row r="230" spans="1:12" ht="15" x14ac:dyDescent="0.25">
      <c r="A230" s="5">
        <v>45748</v>
      </c>
      <c r="B230" t="s">
        <v>9</v>
      </c>
      <c r="C230">
        <v>2.2999999999999998</v>
      </c>
      <c r="D230" s="5">
        <v>47424</v>
      </c>
      <c r="E230">
        <v>5</v>
      </c>
      <c r="F230" t="s">
        <v>76</v>
      </c>
      <c r="G230">
        <v>150000000</v>
      </c>
      <c r="H230">
        <v>0.42</v>
      </c>
      <c r="I230">
        <f t="shared" si="5"/>
        <v>2.5562999999999998</v>
      </c>
      <c r="J230" t="s">
        <v>86</v>
      </c>
      <c r="K230">
        <v>5</v>
      </c>
      <c r="L230" t="s">
        <v>107</v>
      </c>
    </row>
    <row r="231" spans="1:12" ht="15" x14ac:dyDescent="0.25">
      <c r="A231" s="5">
        <v>45748</v>
      </c>
      <c r="B231" t="s">
        <v>9</v>
      </c>
      <c r="C231">
        <v>2.2999999999999998</v>
      </c>
      <c r="D231" s="5">
        <v>47424</v>
      </c>
      <c r="E231">
        <v>5</v>
      </c>
      <c r="F231" t="s">
        <v>76</v>
      </c>
      <c r="G231">
        <v>150000000</v>
      </c>
      <c r="H231">
        <v>0.42</v>
      </c>
      <c r="I231">
        <f t="shared" si="5"/>
        <v>2.5562999999999998</v>
      </c>
      <c r="J231" t="s">
        <v>87</v>
      </c>
      <c r="K231">
        <v>5</v>
      </c>
      <c r="L231" t="s">
        <v>108</v>
      </c>
    </row>
    <row r="232" spans="1:12" ht="15" x14ac:dyDescent="0.25">
      <c r="A232" s="5">
        <v>45748</v>
      </c>
      <c r="B232" t="s">
        <v>9</v>
      </c>
      <c r="C232">
        <v>2.2999999999999998</v>
      </c>
      <c r="D232" s="5">
        <v>47424</v>
      </c>
      <c r="E232">
        <v>5</v>
      </c>
      <c r="F232" t="s">
        <v>76</v>
      </c>
      <c r="G232">
        <v>150000000</v>
      </c>
      <c r="H232">
        <v>0.66</v>
      </c>
      <c r="I232">
        <f t="shared" si="5"/>
        <v>2.7963</v>
      </c>
      <c r="J232" t="s">
        <v>88</v>
      </c>
      <c r="K232">
        <v>5</v>
      </c>
      <c r="L232" t="s">
        <v>109</v>
      </c>
    </row>
    <row r="233" spans="1:12" ht="15" x14ac:dyDescent="0.25">
      <c r="A233" s="5">
        <v>45776</v>
      </c>
      <c r="B233" t="s">
        <v>14</v>
      </c>
      <c r="C233">
        <v>5.5</v>
      </c>
      <c r="D233" s="5">
        <v>48014</v>
      </c>
      <c r="E233">
        <v>6</v>
      </c>
      <c r="F233" t="s">
        <v>76</v>
      </c>
      <c r="G233">
        <v>620000000</v>
      </c>
      <c r="H233">
        <v>0.44</v>
      </c>
      <c r="I233">
        <f>H233+2.2256</f>
        <v>2.6656</v>
      </c>
      <c r="J233" t="s">
        <v>89</v>
      </c>
      <c r="K233">
        <v>6</v>
      </c>
      <c r="L233" t="s">
        <v>107</v>
      </c>
    </row>
    <row r="234" spans="1:12" ht="15" x14ac:dyDescent="0.25">
      <c r="A234" s="5">
        <v>45776</v>
      </c>
      <c r="B234" t="s">
        <v>14</v>
      </c>
      <c r="C234">
        <v>5.5</v>
      </c>
      <c r="D234" s="5">
        <v>48014</v>
      </c>
      <c r="E234">
        <v>6</v>
      </c>
      <c r="F234" t="s">
        <v>76</v>
      </c>
      <c r="G234">
        <v>620000000</v>
      </c>
      <c r="H234">
        <v>0.44</v>
      </c>
      <c r="I234">
        <f t="shared" ref="I234:I277" si="6">H234+2.2256</f>
        <v>2.6656</v>
      </c>
      <c r="J234" t="s">
        <v>90</v>
      </c>
      <c r="K234">
        <v>6</v>
      </c>
      <c r="L234" t="s">
        <v>108</v>
      </c>
    </row>
    <row r="235" spans="1:12" ht="15" x14ac:dyDescent="0.25">
      <c r="A235" s="5">
        <v>45776</v>
      </c>
      <c r="B235" t="s">
        <v>14</v>
      </c>
      <c r="C235">
        <v>5.5</v>
      </c>
      <c r="D235" s="5">
        <v>48014</v>
      </c>
      <c r="E235">
        <v>6</v>
      </c>
      <c r="F235" t="s">
        <v>76</v>
      </c>
      <c r="G235">
        <v>620000000</v>
      </c>
      <c r="H235">
        <v>0.69</v>
      </c>
      <c r="I235">
        <f t="shared" si="6"/>
        <v>2.9156</v>
      </c>
      <c r="J235" t="s">
        <v>91</v>
      </c>
      <c r="K235">
        <v>6</v>
      </c>
      <c r="L235" t="s">
        <v>109</v>
      </c>
    </row>
    <row r="236" spans="1:12" ht="15" x14ac:dyDescent="0.25">
      <c r="A236" s="5">
        <v>45776</v>
      </c>
      <c r="B236" t="s">
        <v>18</v>
      </c>
      <c r="C236">
        <v>2.75</v>
      </c>
      <c r="D236" s="5">
        <v>47975</v>
      </c>
      <c r="E236">
        <v>6</v>
      </c>
      <c r="F236" t="s">
        <v>76</v>
      </c>
      <c r="G236">
        <v>750000000</v>
      </c>
      <c r="H236">
        <v>0.44</v>
      </c>
      <c r="I236">
        <f t="shared" si="6"/>
        <v>2.6656</v>
      </c>
      <c r="J236" t="s">
        <v>89</v>
      </c>
      <c r="K236">
        <v>6</v>
      </c>
      <c r="L236" t="s">
        <v>107</v>
      </c>
    </row>
    <row r="237" spans="1:12" ht="15" x14ac:dyDescent="0.25">
      <c r="A237" s="5">
        <v>45776</v>
      </c>
      <c r="B237" t="s">
        <v>18</v>
      </c>
      <c r="C237">
        <v>2.75</v>
      </c>
      <c r="D237" s="5">
        <v>47975</v>
      </c>
      <c r="E237">
        <v>6</v>
      </c>
      <c r="F237" t="s">
        <v>76</v>
      </c>
      <c r="G237">
        <v>750000000</v>
      </c>
      <c r="H237">
        <v>0.44</v>
      </c>
      <c r="I237">
        <f t="shared" si="6"/>
        <v>2.6656</v>
      </c>
      <c r="J237" t="s">
        <v>90</v>
      </c>
      <c r="K237">
        <v>6</v>
      </c>
      <c r="L237" t="s">
        <v>108</v>
      </c>
    </row>
    <row r="238" spans="1:12" ht="15" x14ac:dyDescent="0.25">
      <c r="A238" s="5">
        <v>45776</v>
      </c>
      <c r="B238" t="s">
        <v>18</v>
      </c>
      <c r="C238">
        <v>2.75</v>
      </c>
      <c r="D238" s="5">
        <v>47975</v>
      </c>
      <c r="E238">
        <v>6</v>
      </c>
      <c r="F238" t="s">
        <v>76</v>
      </c>
      <c r="G238">
        <v>750000000</v>
      </c>
      <c r="H238">
        <v>0.69</v>
      </c>
      <c r="I238">
        <f t="shared" si="6"/>
        <v>2.9156</v>
      </c>
      <c r="J238" t="s">
        <v>91</v>
      </c>
      <c r="K238">
        <v>6</v>
      </c>
      <c r="L238" t="s">
        <v>109</v>
      </c>
    </row>
    <row r="239" spans="1:12" ht="15" x14ac:dyDescent="0.25">
      <c r="A239" s="5">
        <v>45775</v>
      </c>
      <c r="B239" t="s">
        <v>23</v>
      </c>
      <c r="C239">
        <v>5</v>
      </c>
      <c r="D239" s="5">
        <v>47968</v>
      </c>
      <c r="E239">
        <v>6</v>
      </c>
      <c r="F239" t="s">
        <v>76</v>
      </c>
      <c r="G239">
        <v>550000000</v>
      </c>
      <c r="H239">
        <v>0.44</v>
      </c>
      <c r="I239">
        <f t="shared" si="6"/>
        <v>2.6656</v>
      </c>
      <c r="J239" t="s">
        <v>89</v>
      </c>
      <c r="K239">
        <v>6</v>
      </c>
      <c r="L239" t="s">
        <v>107</v>
      </c>
    </row>
    <row r="240" spans="1:12" ht="15" x14ac:dyDescent="0.25">
      <c r="A240" s="5">
        <v>45775</v>
      </c>
      <c r="B240" t="s">
        <v>23</v>
      </c>
      <c r="C240">
        <v>5</v>
      </c>
      <c r="D240" s="5">
        <v>47968</v>
      </c>
      <c r="E240">
        <v>6</v>
      </c>
      <c r="F240" t="s">
        <v>76</v>
      </c>
      <c r="G240">
        <v>550000000</v>
      </c>
      <c r="H240">
        <v>0.44</v>
      </c>
      <c r="I240">
        <f t="shared" si="6"/>
        <v>2.6656</v>
      </c>
      <c r="J240" t="s">
        <v>90</v>
      </c>
      <c r="K240">
        <v>6</v>
      </c>
      <c r="L240" t="s">
        <v>108</v>
      </c>
    </row>
    <row r="241" spans="1:12" ht="15" x14ac:dyDescent="0.25">
      <c r="A241" s="5">
        <v>45775</v>
      </c>
      <c r="B241" t="s">
        <v>23</v>
      </c>
      <c r="C241">
        <v>5</v>
      </c>
      <c r="D241" s="5">
        <v>47968</v>
      </c>
      <c r="E241">
        <v>6</v>
      </c>
      <c r="F241" t="s">
        <v>76</v>
      </c>
      <c r="G241">
        <v>550000000</v>
      </c>
      <c r="H241">
        <v>0.69</v>
      </c>
      <c r="I241">
        <f t="shared" si="6"/>
        <v>2.9156</v>
      </c>
      <c r="J241" t="s">
        <v>91</v>
      </c>
      <c r="K241">
        <v>6</v>
      </c>
      <c r="L241" t="s">
        <v>109</v>
      </c>
    </row>
    <row r="242" spans="1:12" ht="15" x14ac:dyDescent="0.25">
      <c r="A242" s="5">
        <v>45775</v>
      </c>
      <c r="B242" t="s">
        <v>24</v>
      </c>
      <c r="C242">
        <v>2.625</v>
      </c>
      <c r="D242" s="5">
        <v>47794</v>
      </c>
      <c r="E242">
        <v>6</v>
      </c>
      <c r="F242" t="s">
        <v>76</v>
      </c>
      <c r="G242">
        <v>600000000</v>
      </c>
      <c r="H242">
        <v>0.44</v>
      </c>
      <c r="I242">
        <f t="shared" si="6"/>
        <v>2.6656</v>
      </c>
      <c r="J242" t="s">
        <v>89</v>
      </c>
      <c r="K242">
        <v>6</v>
      </c>
      <c r="L242" t="s">
        <v>107</v>
      </c>
    </row>
    <row r="243" spans="1:12" ht="15" x14ac:dyDescent="0.25">
      <c r="A243" s="5">
        <v>45775</v>
      </c>
      <c r="B243" t="s">
        <v>24</v>
      </c>
      <c r="C243">
        <v>2.625</v>
      </c>
      <c r="D243" s="5">
        <v>47794</v>
      </c>
      <c r="E243">
        <v>6</v>
      </c>
      <c r="F243" t="s">
        <v>76</v>
      </c>
      <c r="G243">
        <v>600000000</v>
      </c>
      <c r="H243">
        <v>0.44</v>
      </c>
      <c r="I243">
        <f t="shared" si="6"/>
        <v>2.6656</v>
      </c>
      <c r="J243" t="s">
        <v>90</v>
      </c>
      <c r="K243">
        <v>6</v>
      </c>
      <c r="L243" t="s">
        <v>108</v>
      </c>
    </row>
    <row r="244" spans="1:12" ht="15" x14ac:dyDescent="0.25">
      <c r="A244" s="5">
        <v>45775</v>
      </c>
      <c r="B244" t="s">
        <v>24</v>
      </c>
      <c r="C244">
        <v>2.625</v>
      </c>
      <c r="D244" s="5">
        <v>47794</v>
      </c>
      <c r="E244">
        <v>6</v>
      </c>
      <c r="F244" t="s">
        <v>76</v>
      </c>
      <c r="G244">
        <v>600000000</v>
      </c>
      <c r="H244">
        <v>0.69</v>
      </c>
      <c r="I244">
        <f t="shared" si="6"/>
        <v>2.9156</v>
      </c>
      <c r="J244" t="s">
        <v>91</v>
      </c>
      <c r="K244">
        <v>6</v>
      </c>
      <c r="L244" t="s">
        <v>109</v>
      </c>
    </row>
    <row r="245" spans="1:12" ht="15" x14ac:dyDescent="0.25">
      <c r="A245" s="5">
        <v>45771</v>
      </c>
      <c r="B245" t="s">
        <v>29</v>
      </c>
      <c r="C245">
        <v>4.875</v>
      </c>
      <c r="D245" s="5">
        <v>47879</v>
      </c>
      <c r="E245">
        <v>6</v>
      </c>
      <c r="F245" t="s">
        <v>76</v>
      </c>
      <c r="G245">
        <v>4.5658E+16</v>
      </c>
      <c r="H245">
        <v>0.44</v>
      </c>
      <c r="I245">
        <f t="shared" si="6"/>
        <v>2.6656</v>
      </c>
      <c r="J245" t="s">
        <v>89</v>
      </c>
      <c r="K245">
        <v>6</v>
      </c>
      <c r="L245" t="s">
        <v>107</v>
      </c>
    </row>
    <row r="246" spans="1:12" ht="15" x14ac:dyDescent="0.25">
      <c r="A246" s="5">
        <v>45771</v>
      </c>
      <c r="B246" t="s">
        <v>29</v>
      </c>
      <c r="C246">
        <v>4.875</v>
      </c>
      <c r="D246" s="5">
        <v>47879</v>
      </c>
      <c r="E246">
        <v>6</v>
      </c>
      <c r="F246" t="s">
        <v>76</v>
      </c>
      <c r="G246">
        <v>4.5658E+16</v>
      </c>
      <c r="H246">
        <v>0.44</v>
      </c>
      <c r="I246">
        <f t="shared" si="6"/>
        <v>2.6656</v>
      </c>
      <c r="J246" t="s">
        <v>90</v>
      </c>
      <c r="K246">
        <v>6</v>
      </c>
      <c r="L246" t="s">
        <v>108</v>
      </c>
    </row>
    <row r="247" spans="1:12" ht="15" x14ac:dyDescent="0.25">
      <c r="A247" s="5">
        <v>45771</v>
      </c>
      <c r="B247" t="s">
        <v>29</v>
      </c>
      <c r="C247">
        <v>4.875</v>
      </c>
      <c r="D247" s="5">
        <v>47879</v>
      </c>
      <c r="E247">
        <v>6</v>
      </c>
      <c r="F247" t="s">
        <v>76</v>
      </c>
      <c r="G247">
        <v>4.5658E+16</v>
      </c>
      <c r="H247">
        <v>0.69</v>
      </c>
      <c r="I247">
        <f t="shared" si="6"/>
        <v>2.9156</v>
      </c>
      <c r="J247" t="s">
        <v>91</v>
      </c>
      <c r="K247">
        <v>6</v>
      </c>
      <c r="L247" t="s">
        <v>109</v>
      </c>
    </row>
    <row r="248" spans="1:12" ht="15" x14ac:dyDescent="0.25">
      <c r="A248" s="5">
        <v>45770</v>
      </c>
      <c r="B248" t="s">
        <v>32</v>
      </c>
      <c r="C248">
        <v>2.85</v>
      </c>
      <c r="D248" s="5">
        <v>47996</v>
      </c>
      <c r="E248">
        <v>6</v>
      </c>
      <c r="F248" t="s">
        <v>76</v>
      </c>
      <c r="G248">
        <v>20000000</v>
      </c>
      <c r="H248">
        <v>0.44</v>
      </c>
      <c r="I248">
        <f t="shared" si="6"/>
        <v>2.6656</v>
      </c>
      <c r="J248" t="s">
        <v>89</v>
      </c>
      <c r="K248">
        <v>6</v>
      </c>
      <c r="L248" t="s">
        <v>107</v>
      </c>
    </row>
    <row r="249" spans="1:12" ht="15" x14ac:dyDescent="0.25">
      <c r="A249" s="5">
        <v>45770</v>
      </c>
      <c r="B249" t="s">
        <v>32</v>
      </c>
      <c r="C249">
        <v>2.85</v>
      </c>
      <c r="D249" s="5">
        <v>47996</v>
      </c>
      <c r="E249">
        <v>6</v>
      </c>
      <c r="F249" t="s">
        <v>76</v>
      </c>
      <c r="G249">
        <v>20000000</v>
      </c>
      <c r="H249">
        <v>0.44</v>
      </c>
      <c r="I249">
        <f t="shared" si="6"/>
        <v>2.6656</v>
      </c>
      <c r="J249" t="s">
        <v>90</v>
      </c>
      <c r="K249">
        <v>6</v>
      </c>
      <c r="L249" t="s">
        <v>108</v>
      </c>
    </row>
    <row r="250" spans="1:12" ht="15" x14ac:dyDescent="0.25">
      <c r="A250" s="5">
        <v>45770</v>
      </c>
      <c r="B250" t="s">
        <v>32</v>
      </c>
      <c r="C250">
        <v>2.85</v>
      </c>
      <c r="D250" s="5">
        <v>47996</v>
      </c>
      <c r="E250">
        <v>6</v>
      </c>
      <c r="F250" t="s">
        <v>76</v>
      </c>
      <c r="G250">
        <v>20000000</v>
      </c>
      <c r="H250">
        <v>0.69</v>
      </c>
      <c r="I250">
        <f t="shared" si="6"/>
        <v>2.9156</v>
      </c>
      <c r="J250" t="s">
        <v>91</v>
      </c>
      <c r="K250">
        <v>6</v>
      </c>
      <c r="L250" t="s">
        <v>109</v>
      </c>
    </row>
    <row r="251" spans="1:12" ht="15" x14ac:dyDescent="0.25">
      <c r="A251" s="5">
        <v>45770</v>
      </c>
      <c r="B251" t="s">
        <v>33</v>
      </c>
      <c r="C251">
        <v>2.875</v>
      </c>
      <c r="D251" s="5">
        <v>47967</v>
      </c>
      <c r="E251">
        <v>6</v>
      </c>
      <c r="F251" t="s">
        <v>76</v>
      </c>
      <c r="G251">
        <v>10000000</v>
      </c>
      <c r="H251">
        <v>0.44</v>
      </c>
      <c r="I251">
        <f t="shared" si="6"/>
        <v>2.6656</v>
      </c>
      <c r="J251" t="s">
        <v>89</v>
      </c>
      <c r="K251">
        <v>6</v>
      </c>
      <c r="L251" t="s">
        <v>107</v>
      </c>
    </row>
    <row r="252" spans="1:12" ht="15" x14ac:dyDescent="0.25">
      <c r="A252" s="5">
        <v>45770</v>
      </c>
      <c r="B252" t="s">
        <v>33</v>
      </c>
      <c r="C252">
        <v>2.875</v>
      </c>
      <c r="D252" s="5">
        <v>47967</v>
      </c>
      <c r="E252">
        <v>6</v>
      </c>
      <c r="F252" t="s">
        <v>76</v>
      </c>
      <c r="G252">
        <v>10000000</v>
      </c>
      <c r="H252">
        <v>0.44</v>
      </c>
      <c r="I252">
        <f t="shared" si="6"/>
        <v>2.6656</v>
      </c>
      <c r="J252" t="s">
        <v>90</v>
      </c>
      <c r="K252">
        <v>6</v>
      </c>
      <c r="L252" t="s">
        <v>108</v>
      </c>
    </row>
    <row r="253" spans="1:12" ht="15" x14ac:dyDescent="0.25">
      <c r="A253" s="5">
        <v>45770</v>
      </c>
      <c r="B253" t="s">
        <v>33</v>
      </c>
      <c r="C253">
        <v>2.875</v>
      </c>
      <c r="D253" s="5">
        <v>47967</v>
      </c>
      <c r="E253">
        <v>6</v>
      </c>
      <c r="F253" t="s">
        <v>76</v>
      </c>
      <c r="G253">
        <v>10000000</v>
      </c>
      <c r="H253">
        <v>0.69</v>
      </c>
      <c r="I253">
        <f t="shared" si="6"/>
        <v>2.9156</v>
      </c>
      <c r="J253" t="s">
        <v>91</v>
      </c>
      <c r="K253">
        <v>6</v>
      </c>
      <c r="L253" t="s">
        <v>109</v>
      </c>
    </row>
    <row r="254" spans="1:12" ht="15" x14ac:dyDescent="0.25">
      <c r="A254" s="5">
        <v>45769</v>
      </c>
      <c r="B254" t="s">
        <v>32</v>
      </c>
      <c r="C254">
        <v>2.5</v>
      </c>
      <c r="D254" s="5">
        <v>47996</v>
      </c>
      <c r="E254">
        <v>6</v>
      </c>
      <c r="F254" t="s">
        <v>76</v>
      </c>
      <c r="G254">
        <v>20000000</v>
      </c>
      <c r="H254">
        <v>0.44</v>
      </c>
      <c r="I254">
        <f t="shared" si="6"/>
        <v>2.6656</v>
      </c>
      <c r="J254" t="s">
        <v>89</v>
      </c>
      <c r="K254">
        <v>6</v>
      </c>
      <c r="L254" t="s">
        <v>107</v>
      </c>
    </row>
    <row r="255" spans="1:12" ht="15" x14ac:dyDescent="0.25">
      <c r="A255" s="5">
        <v>45769</v>
      </c>
      <c r="B255" t="s">
        <v>32</v>
      </c>
      <c r="C255">
        <v>2.5</v>
      </c>
      <c r="D255" s="5">
        <v>47996</v>
      </c>
      <c r="E255">
        <v>6</v>
      </c>
      <c r="F255" t="s">
        <v>76</v>
      </c>
      <c r="G255">
        <v>20000000</v>
      </c>
      <c r="H255">
        <v>0.44</v>
      </c>
      <c r="I255">
        <f t="shared" si="6"/>
        <v>2.6656</v>
      </c>
      <c r="J255" t="s">
        <v>90</v>
      </c>
      <c r="K255">
        <v>6</v>
      </c>
      <c r="L255" t="s">
        <v>108</v>
      </c>
    </row>
    <row r="256" spans="1:12" ht="15" x14ac:dyDescent="0.25">
      <c r="A256" s="5">
        <v>45769</v>
      </c>
      <c r="B256" t="s">
        <v>32</v>
      </c>
      <c r="C256">
        <v>2.5</v>
      </c>
      <c r="D256" s="5">
        <v>47996</v>
      </c>
      <c r="E256">
        <v>6</v>
      </c>
      <c r="F256" t="s">
        <v>76</v>
      </c>
      <c r="G256">
        <v>20000000</v>
      </c>
      <c r="H256">
        <v>0.69</v>
      </c>
      <c r="I256">
        <f t="shared" si="6"/>
        <v>2.9156</v>
      </c>
      <c r="J256" t="s">
        <v>91</v>
      </c>
      <c r="K256">
        <v>6</v>
      </c>
      <c r="L256" t="s">
        <v>109</v>
      </c>
    </row>
    <row r="257" spans="1:12" ht="15" x14ac:dyDescent="0.25">
      <c r="A257" s="5">
        <v>45764</v>
      </c>
      <c r="B257" t="s">
        <v>40</v>
      </c>
      <c r="C257">
        <v>2.7</v>
      </c>
      <c r="D257" s="5">
        <v>47904</v>
      </c>
      <c r="E257">
        <v>6</v>
      </c>
      <c r="F257" t="s">
        <v>76</v>
      </c>
      <c r="G257">
        <v>5700000000000</v>
      </c>
      <c r="H257">
        <v>0.44</v>
      </c>
      <c r="I257">
        <f t="shared" si="6"/>
        <v>2.6656</v>
      </c>
      <c r="J257" t="s">
        <v>89</v>
      </c>
      <c r="K257">
        <v>6</v>
      </c>
      <c r="L257" t="s">
        <v>107</v>
      </c>
    </row>
    <row r="258" spans="1:12" ht="15" x14ac:dyDescent="0.25">
      <c r="A258" s="5">
        <v>45764</v>
      </c>
      <c r="B258" t="s">
        <v>40</v>
      </c>
      <c r="C258">
        <v>2.7</v>
      </c>
      <c r="D258" s="5">
        <v>47904</v>
      </c>
      <c r="E258">
        <v>6</v>
      </c>
      <c r="F258" t="s">
        <v>76</v>
      </c>
      <c r="G258">
        <v>5700000000000</v>
      </c>
      <c r="H258">
        <v>0.44</v>
      </c>
      <c r="I258">
        <f t="shared" si="6"/>
        <v>2.6656</v>
      </c>
      <c r="J258" t="s">
        <v>90</v>
      </c>
      <c r="K258">
        <v>6</v>
      </c>
      <c r="L258" t="s">
        <v>108</v>
      </c>
    </row>
    <row r="259" spans="1:12" ht="15" x14ac:dyDescent="0.25">
      <c r="A259" s="5">
        <v>45764</v>
      </c>
      <c r="B259" t="s">
        <v>40</v>
      </c>
      <c r="C259">
        <v>2.7</v>
      </c>
      <c r="D259" s="5">
        <v>47904</v>
      </c>
      <c r="E259">
        <v>6</v>
      </c>
      <c r="F259" t="s">
        <v>76</v>
      </c>
      <c r="G259">
        <v>5700000000000</v>
      </c>
      <c r="H259">
        <v>0.69</v>
      </c>
      <c r="I259">
        <f t="shared" si="6"/>
        <v>2.9156</v>
      </c>
      <c r="J259" t="s">
        <v>91</v>
      </c>
      <c r="K259">
        <v>6</v>
      </c>
      <c r="L259" t="s">
        <v>109</v>
      </c>
    </row>
    <row r="260" spans="1:12" ht="15" x14ac:dyDescent="0.25">
      <c r="A260" s="5">
        <v>45762</v>
      </c>
      <c r="B260" t="s">
        <v>48</v>
      </c>
      <c r="C260">
        <v>0.125</v>
      </c>
      <c r="D260" s="5">
        <v>48106</v>
      </c>
      <c r="E260">
        <v>6</v>
      </c>
      <c r="F260" t="s">
        <v>76</v>
      </c>
      <c r="G260">
        <v>7140000000000</v>
      </c>
      <c r="H260">
        <v>0.44</v>
      </c>
      <c r="I260">
        <f t="shared" si="6"/>
        <v>2.6656</v>
      </c>
      <c r="J260" t="s">
        <v>89</v>
      </c>
      <c r="K260">
        <v>6</v>
      </c>
      <c r="L260" t="s">
        <v>107</v>
      </c>
    </row>
    <row r="261" spans="1:12" ht="15" x14ac:dyDescent="0.25">
      <c r="A261" s="5">
        <v>45762</v>
      </c>
      <c r="B261" t="s">
        <v>48</v>
      </c>
      <c r="C261">
        <v>0.125</v>
      </c>
      <c r="D261" s="5">
        <v>48106</v>
      </c>
      <c r="E261">
        <v>6</v>
      </c>
      <c r="F261" t="s">
        <v>76</v>
      </c>
      <c r="G261">
        <v>7140000000000</v>
      </c>
      <c r="H261">
        <v>0.44</v>
      </c>
      <c r="I261">
        <f t="shared" si="6"/>
        <v>2.6656</v>
      </c>
      <c r="J261" t="s">
        <v>90</v>
      </c>
      <c r="K261">
        <v>6</v>
      </c>
      <c r="L261" t="s">
        <v>108</v>
      </c>
    </row>
    <row r="262" spans="1:12" ht="15" x14ac:dyDescent="0.25">
      <c r="A262" s="5">
        <v>45762</v>
      </c>
      <c r="B262" t="s">
        <v>48</v>
      </c>
      <c r="C262">
        <v>0.125</v>
      </c>
      <c r="D262" s="5">
        <v>48106</v>
      </c>
      <c r="E262">
        <v>6</v>
      </c>
      <c r="F262" t="s">
        <v>76</v>
      </c>
      <c r="G262">
        <v>7140000000000</v>
      </c>
      <c r="H262">
        <v>0.69</v>
      </c>
      <c r="I262">
        <f t="shared" si="6"/>
        <v>2.9156</v>
      </c>
      <c r="J262" t="s">
        <v>91</v>
      </c>
      <c r="K262">
        <v>6</v>
      </c>
      <c r="L262" t="s">
        <v>109</v>
      </c>
    </row>
    <row r="263" spans="1:12" ht="15" x14ac:dyDescent="0.25">
      <c r="A263" s="5">
        <v>45757</v>
      </c>
      <c r="B263" t="s">
        <v>9</v>
      </c>
      <c r="C263">
        <v>2.75</v>
      </c>
      <c r="D263" s="5">
        <v>47983</v>
      </c>
      <c r="E263">
        <v>6</v>
      </c>
      <c r="F263" t="s">
        <v>76</v>
      </c>
      <c r="G263">
        <v>100000000</v>
      </c>
      <c r="H263">
        <v>0.44</v>
      </c>
      <c r="I263">
        <f t="shared" si="6"/>
        <v>2.6656</v>
      </c>
      <c r="J263" t="s">
        <v>89</v>
      </c>
      <c r="K263">
        <v>6</v>
      </c>
      <c r="L263" t="s">
        <v>107</v>
      </c>
    </row>
    <row r="264" spans="1:12" ht="15" x14ac:dyDescent="0.25">
      <c r="A264" s="5">
        <v>45757</v>
      </c>
      <c r="B264" t="s">
        <v>9</v>
      </c>
      <c r="C264">
        <v>2.75</v>
      </c>
      <c r="D264" s="5">
        <v>47983</v>
      </c>
      <c r="E264">
        <v>6</v>
      </c>
      <c r="F264" t="s">
        <v>76</v>
      </c>
      <c r="G264">
        <v>100000000</v>
      </c>
      <c r="H264">
        <v>0.44</v>
      </c>
      <c r="I264">
        <f t="shared" si="6"/>
        <v>2.6656</v>
      </c>
      <c r="J264" t="s">
        <v>90</v>
      </c>
      <c r="K264">
        <v>6</v>
      </c>
      <c r="L264" t="s">
        <v>108</v>
      </c>
    </row>
    <row r="265" spans="1:12" ht="15" x14ac:dyDescent="0.25">
      <c r="A265" s="5">
        <v>45757</v>
      </c>
      <c r="B265" t="s">
        <v>9</v>
      </c>
      <c r="C265">
        <v>2.75</v>
      </c>
      <c r="D265" s="5">
        <v>47983</v>
      </c>
      <c r="E265">
        <v>6</v>
      </c>
      <c r="F265" t="s">
        <v>76</v>
      </c>
      <c r="G265">
        <v>100000000</v>
      </c>
      <c r="H265">
        <v>0.69</v>
      </c>
      <c r="I265">
        <f t="shared" si="6"/>
        <v>2.9156</v>
      </c>
      <c r="J265" t="s">
        <v>91</v>
      </c>
      <c r="K265">
        <v>6</v>
      </c>
      <c r="L265" t="s">
        <v>109</v>
      </c>
    </row>
    <row r="266" spans="1:12" ht="15" x14ac:dyDescent="0.25">
      <c r="A266" s="5">
        <v>45756</v>
      </c>
      <c r="B266" t="s">
        <v>32</v>
      </c>
      <c r="C266">
        <v>3</v>
      </c>
      <c r="D266" s="5">
        <v>47977</v>
      </c>
      <c r="E266">
        <v>6</v>
      </c>
      <c r="F266" t="s">
        <v>76</v>
      </c>
      <c r="G266">
        <v>20000000</v>
      </c>
      <c r="H266">
        <v>0.44</v>
      </c>
      <c r="I266">
        <f t="shared" si="6"/>
        <v>2.6656</v>
      </c>
      <c r="J266" t="s">
        <v>89</v>
      </c>
      <c r="K266">
        <v>6</v>
      </c>
      <c r="L266" t="s">
        <v>107</v>
      </c>
    </row>
    <row r="267" spans="1:12" ht="15" x14ac:dyDescent="0.25">
      <c r="A267" s="5">
        <v>45756</v>
      </c>
      <c r="B267" t="s">
        <v>32</v>
      </c>
      <c r="C267">
        <v>3</v>
      </c>
      <c r="D267" s="5">
        <v>47977</v>
      </c>
      <c r="E267">
        <v>6</v>
      </c>
      <c r="F267" t="s">
        <v>76</v>
      </c>
      <c r="G267">
        <v>20000000</v>
      </c>
      <c r="H267">
        <v>0.44</v>
      </c>
      <c r="I267">
        <f t="shared" si="6"/>
        <v>2.6656</v>
      </c>
      <c r="J267" t="s">
        <v>90</v>
      </c>
      <c r="K267">
        <v>6</v>
      </c>
      <c r="L267" t="s">
        <v>108</v>
      </c>
    </row>
    <row r="268" spans="1:12" ht="15" x14ac:dyDescent="0.25">
      <c r="A268" s="5">
        <v>45756</v>
      </c>
      <c r="B268" t="s">
        <v>32</v>
      </c>
      <c r="C268">
        <v>3</v>
      </c>
      <c r="D268" s="5">
        <v>47977</v>
      </c>
      <c r="E268">
        <v>6</v>
      </c>
      <c r="F268" t="s">
        <v>76</v>
      </c>
      <c r="G268">
        <v>20000000</v>
      </c>
      <c r="H268">
        <v>0.69</v>
      </c>
      <c r="I268">
        <f t="shared" si="6"/>
        <v>2.9156</v>
      </c>
      <c r="J268" t="s">
        <v>91</v>
      </c>
      <c r="K268">
        <v>6</v>
      </c>
      <c r="L268" t="s">
        <v>109</v>
      </c>
    </row>
    <row r="269" spans="1:12" ht="15" x14ac:dyDescent="0.25">
      <c r="A269" s="5">
        <v>45750</v>
      </c>
      <c r="B269" t="s">
        <v>52</v>
      </c>
      <c r="C269">
        <v>3.1</v>
      </c>
      <c r="D269" s="5">
        <v>48059</v>
      </c>
      <c r="E269">
        <v>6</v>
      </c>
      <c r="F269" t="s">
        <v>76</v>
      </c>
      <c r="G269">
        <v>18970000000000</v>
      </c>
      <c r="H269">
        <v>0.44</v>
      </c>
      <c r="I269">
        <f t="shared" si="6"/>
        <v>2.6656</v>
      </c>
      <c r="J269" t="s">
        <v>89</v>
      </c>
      <c r="K269">
        <v>6</v>
      </c>
      <c r="L269" t="s">
        <v>107</v>
      </c>
    </row>
    <row r="270" spans="1:12" ht="15" x14ac:dyDescent="0.25">
      <c r="A270" s="5">
        <v>45750</v>
      </c>
      <c r="B270" t="s">
        <v>52</v>
      </c>
      <c r="C270">
        <v>3.1</v>
      </c>
      <c r="D270" s="5">
        <v>48059</v>
      </c>
      <c r="E270">
        <v>6</v>
      </c>
      <c r="F270" t="s">
        <v>76</v>
      </c>
      <c r="G270">
        <v>18970000000000</v>
      </c>
      <c r="H270">
        <v>0.44</v>
      </c>
      <c r="I270">
        <f t="shared" si="6"/>
        <v>2.6656</v>
      </c>
      <c r="J270" t="s">
        <v>90</v>
      </c>
      <c r="K270">
        <v>6</v>
      </c>
      <c r="L270" t="s">
        <v>108</v>
      </c>
    </row>
    <row r="271" spans="1:12" ht="15" x14ac:dyDescent="0.25">
      <c r="A271" s="5">
        <v>45750</v>
      </c>
      <c r="B271" t="s">
        <v>52</v>
      </c>
      <c r="C271">
        <v>3.1</v>
      </c>
      <c r="D271" s="5">
        <v>48059</v>
      </c>
      <c r="E271">
        <v>6</v>
      </c>
      <c r="F271" t="s">
        <v>76</v>
      </c>
      <c r="G271">
        <v>18970000000000</v>
      </c>
      <c r="H271">
        <v>0.69</v>
      </c>
      <c r="I271">
        <f t="shared" si="6"/>
        <v>2.9156</v>
      </c>
      <c r="J271" t="s">
        <v>91</v>
      </c>
      <c r="K271">
        <v>6</v>
      </c>
      <c r="L271" t="s">
        <v>109</v>
      </c>
    </row>
    <row r="272" spans="1:12" ht="15" x14ac:dyDescent="0.25">
      <c r="A272" s="5">
        <v>45749</v>
      </c>
      <c r="B272" t="s">
        <v>67</v>
      </c>
      <c r="C272">
        <v>1</v>
      </c>
      <c r="D272" s="5">
        <v>47984</v>
      </c>
      <c r="E272">
        <v>6</v>
      </c>
      <c r="F272" t="s">
        <v>76</v>
      </c>
      <c r="G272">
        <v>15000000</v>
      </c>
      <c r="H272">
        <v>0.44</v>
      </c>
      <c r="I272">
        <f t="shared" si="6"/>
        <v>2.6656</v>
      </c>
      <c r="J272" t="s">
        <v>89</v>
      </c>
      <c r="K272">
        <v>6</v>
      </c>
      <c r="L272" t="s">
        <v>107</v>
      </c>
    </row>
    <row r="273" spans="1:12" ht="15" x14ac:dyDescent="0.25">
      <c r="A273" s="5">
        <v>45749</v>
      </c>
      <c r="B273" t="s">
        <v>67</v>
      </c>
      <c r="C273">
        <v>1</v>
      </c>
      <c r="D273" s="5">
        <v>47984</v>
      </c>
      <c r="E273">
        <v>6</v>
      </c>
      <c r="F273" t="s">
        <v>76</v>
      </c>
      <c r="G273">
        <v>15000000</v>
      </c>
      <c r="H273">
        <v>0.44</v>
      </c>
      <c r="I273">
        <f t="shared" si="6"/>
        <v>2.6656</v>
      </c>
      <c r="J273" t="s">
        <v>90</v>
      </c>
      <c r="K273">
        <v>6</v>
      </c>
      <c r="L273" t="s">
        <v>108</v>
      </c>
    </row>
    <row r="274" spans="1:12" ht="15" x14ac:dyDescent="0.25">
      <c r="A274" s="5">
        <v>45749</v>
      </c>
      <c r="B274" t="s">
        <v>67</v>
      </c>
      <c r="C274">
        <v>1</v>
      </c>
      <c r="D274" s="5">
        <v>47984</v>
      </c>
      <c r="E274">
        <v>6</v>
      </c>
      <c r="F274" t="s">
        <v>76</v>
      </c>
      <c r="G274">
        <v>15000000</v>
      </c>
      <c r="H274">
        <v>0.69</v>
      </c>
      <c r="I274">
        <f t="shared" si="6"/>
        <v>2.9156</v>
      </c>
      <c r="J274" t="s">
        <v>91</v>
      </c>
      <c r="K274">
        <v>6</v>
      </c>
      <c r="L274" t="s">
        <v>109</v>
      </c>
    </row>
    <row r="275" spans="1:12" ht="15" x14ac:dyDescent="0.25">
      <c r="A275" s="5">
        <v>45748</v>
      </c>
      <c r="B275" t="s">
        <v>71</v>
      </c>
      <c r="C275">
        <v>4.25</v>
      </c>
      <c r="D275" s="5">
        <v>47946</v>
      </c>
      <c r="E275">
        <v>6</v>
      </c>
      <c r="F275" t="s">
        <v>76</v>
      </c>
      <c r="G275">
        <v>500000000</v>
      </c>
      <c r="H275">
        <v>0.44</v>
      </c>
      <c r="I275">
        <f t="shared" si="6"/>
        <v>2.6656</v>
      </c>
      <c r="J275" t="s">
        <v>89</v>
      </c>
      <c r="K275">
        <v>6</v>
      </c>
      <c r="L275" t="s">
        <v>107</v>
      </c>
    </row>
    <row r="276" spans="1:12" ht="15" x14ac:dyDescent="0.25">
      <c r="A276" s="5">
        <v>45748</v>
      </c>
      <c r="B276" t="s">
        <v>71</v>
      </c>
      <c r="C276">
        <v>4.25</v>
      </c>
      <c r="D276" s="5">
        <v>47946</v>
      </c>
      <c r="E276">
        <v>6</v>
      </c>
      <c r="F276" t="s">
        <v>76</v>
      </c>
      <c r="G276">
        <v>500000000</v>
      </c>
      <c r="H276">
        <v>0.44</v>
      </c>
      <c r="I276">
        <f t="shared" si="6"/>
        <v>2.6656</v>
      </c>
      <c r="J276" t="s">
        <v>90</v>
      </c>
      <c r="K276">
        <v>6</v>
      </c>
      <c r="L276" t="s">
        <v>108</v>
      </c>
    </row>
    <row r="277" spans="1:12" ht="15" x14ac:dyDescent="0.25">
      <c r="A277" s="5">
        <v>45748</v>
      </c>
      <c r="B277" t="s">
        <v>71</v>
      </c>
      <c r="C277">
        <v>4.25</v>
      </c>
      <c r="D277" s="5">
        <v>47946</v>
      </c>
      <c r="E277">
        <v>6</v>
      </c>
      <c r="F277" t="s">
        <v>76</v>
      </c>
      <c r="G277">
        <v>500000000</v>
      </c>
      <c r="H277">
        <v>0.69</v>
      </c>
      <c r="I277">
        <f t="shared" si="6"/>
        <v>2.9156</v>
      </c>
      <c r="J277" t="s">
        <v>91</v>
      </c>
      <c r="K277">
        <v>6</v>
      </c>
      <c r="L277" t="s">
        <v>109</v>
      </c>
    </row>
    <row r="278" spans="1:12" ht="15" x14ac:dyDescent="0.25">
      <c r="A278" s="5">
        <v>45777</v>
      </c>
      <c r="B278" t="s">
        <v>11</v>
      </c>
      <c r="C278">
        <v>2.75</v>
      </c>
      <c r="D278" s="5">
        <v>48297</v>
      </c>
      <c r="E278">
        <v>7</v>
      </c>
      <c r="F278" t="s">
        <v>76</v>
      </c>
      <c r="G278">
        <v>250000000</v>
      </c>
      <c r="H278">
        <v>0.47</v>
      </c>
      <c r="I278">
        <f>H278+2.3167</f>
        <v>2.7866999999999997</v>
      </c>
      <c r="J278" t="s">
        <v>83</v>
      </c>
      <c r="K278">
        <v>7</v>
      </c>
      <c r="L278" t="s">
        <v>107</v>
      </c>
    </row>
    <row r="279" spans="1:12" ht="15" x14ac:dyDescent="0.25">
      <c r="A279" s="5">
        <v>45777</v>
      </c>
      <c r="B279" t="s">
        <v>11</v>
      </c>
      <c r="C279">
        <v>2.75</v>
      </c>
      <c r="D279" s="5">
        <v>48297</v>
      </c>
      <c r="E279">
        <v>7</v>
      </c>
      <c r="F279" t="s">
        <v>76</v>
      </c>
      <c r="G279">
        <v>250000000</v>
      </c>
      <c r="H279">
        <v>0.47</v>
      </c>
      <c r="I279">
        <f t="shared" ref="I279:I328" si="7">H279+2.3167</f>
        <v>2.7866999999999997</v>
      </c>
      <c r="J279" t="s">
        <v>84</v>
      </c>
      <c r="K279">
        <v>7</v>
      </c>
      <c r="L279" t="s">
        <v>108</v>
      </c>
    </row>
    <row r="280" spans="1:12" ht="15" x14ac:dyDescent="0.25">
      <c r="A280" s="5">
        <v>45777</v>
      </c>
      <c r="B280" t="s">
        <v>11</v>
      </c>
      <c r="C280">
        <v>2.75</v>
      </c>
      <c r="D280" s="5">
        <v>48297</v>
      </c>
      <c r="E280">
        <v>7</v>
      </c>
      <c r="F280" t="s">
        <v>76</v>
      </c>
      <c r="G280">
        <v>250000000</v>
      </c>
      <c r="H280">
        <v>0.7</v>
      </c>
      <c r="I280">
        <f t="shared" si="7"/>
        <v>3.0167000000000002</v>
      </c>
      <c r="J280" t="s">
        <v>85</v>
      </c>
      <c r="K280">
        <v>7</v>
      </c>
      <c r="L280" t="s">
        <v>109</v>
      </c>
    </row>
    <row r="281" spans="1:12" ht="15" x14ac:dyDescent="0.25">
      <c r="A281" s="5">
        <v>45776</v>
      </c>
      <c r="B281" t="s">
        <v>15</v>
      </c>
      <c r="C281">
        <v>3.5</v>
      </c>
      <c r="D281" s="5">
        <v>48380</v>
      </c>
      <c r="E281">
        <v>7</v>
      </c>
      <c r="F281" t="s">
        <v>76</v>
      </c>
      <c r="G281">
        <v>775000000</v>
      </c>
      <c r="H281">
        <v>0.47</v>
      </c>
      <c r="I281">
        <f t="shared" si="7"/>
        <v>2.7866999999999997</v>
      </c>
      <c r="J281" t="s">
        <v>83</v>
      </c>
      <c r="K281">
        <v>7</v>
      </c>
      <c r="L281" t="s">
        <v>107</v>
      </c>
    </row>
    <row r="282" spans="1:12" ht="15" x14ac:dyDescent="0.25">
      <c r="A282" s="5">
        <v>45776</v>
      </c>
      <c r="B282" t="s">
        <v>15</v>
      </c>
      <c r="C282">
        <v>3.5</v>
      </c>
      <c r="D282" s="5">
        <v>48380</v>
      </c>
      <c r="E282">
        <v>7</v>
      </c>
      <c r="F282" t="s">
        <v>76</v>
      </c>
      <c r="G282">
        <v>775000000</v>
      </c>
      <c r="H282">
        <v>0.47</v>
      </c>
      <c r="I282">
        <f t="shared" si="7"/>
        <v>2.7866999999999997</v>
      </c>
      <c r="J282" t="s">
        <v>84</v>
      </c>
      <c r="K282">
        <v>7</v>
      </c>
      <c r="L282" t="s">
        <v>108</v>
      </c>
    </row>
    <row r="283" spans="1:12" ht="15" x14ac:dyDescent="0.25">
      <c r="A283" s="5">
        <v>45776</v>
      </c>
      <c r="B283" t="s">
        <v>15</v>
      </c>
      <c r="C283">
        <v>3.5</v>
      </c>
      <c r="D283" s="5">
        <v>48380</v>
      </c>
      <c r="E283">
        <v>7</v>
      </c>
      <c r="F283" t="s">
        <v>76</v>
      </c>
      <c r="G283">
        <v>775000000</v>
      </c>
      <c r="H283">
        <v>0.7</v>
      </c>
      <c r="I283">
        <f t="shared" si="7"/>
        <v>3.0167000000000002</v>
      </c>
      <c r="J283" t="s">
        <v>85</v>
      </c>
      <c r="K283">
        <v>7</v>
      </c>
      <c r="L283" t="s">
        <v>109</v>
      </c>
    </row>
    <row r="284" spans="1:12" ht="15" x14ac:dyDescent="0.25">
      <c r="A284" s="5">
        <v>45775</v>
      </c>
      <c r="B284" t="s">
        <v>27</v>
      </c>
      <c r="C284">
        <v>2.25</v>
      </c>
      <c r="D284" s="5">
        <v>48341</v>
      </c>
      <c r="E284">
        <v>7</v>
      </c>
      <c r="F284" t="s">
        <v>76</v>
      </c>
      <c r="G284">
        <v>25000000</v>
      </c>
      <c r="H284">
        <v>0.47</v>
      </c>
      <c r="I284">
        <f t="shared" si="7"/>
        <v>2.7866999999999997</v>
      </c>
      <c r="J284" t="s">
        <v>83</v>
      </c>
      <c r="K284">
        <v>7</v>
      </c>
      <c r="L284" t="s">
        <v>107</v>
      </c>
    </row>
    <row r="285" spans="1:12" ht="15" x14ac:dyDescent="0.25">
      <c r="A285" s="5">
        <v>45775</v>
      </c>
      <c r="B285" t="s">
        <v>27</v>
      </c>
      <c r="C285">
        <v>2.25</v>
      </c>
      <c r="D285" s="5">
        <v>48341</v>
      </c>
      <c r="E285">
        <v>7</v>
      </c>
      <c r="F285" t="s">
        <v>76</v>
      </c>
      <c r="G285">
        <v>25000000</v>
      </c>
      <c r="H285">
        <v>0.47</v>
      </c>
      <c r="I285">
        <f t="shared" si="7"/>
        <v>2.7866999999999997</v>
      </c>
      <c r="J285" t="s">
        <v>84</v>
      </c>
      <c r="K285">
        <v>7</v>
      </c>
      <c r="L285" t="s">
        <v>108</v>
      </c>
    </row>
    <row r="286" spans="1:12" ht="15" x14ac:dyDescent="0.25">
      <c r="A286" s="5">
        <v>45775</v>
      </c>
      <c r="B286" t="s">
        <v>27</v>
      </c>
      <c r="C286">
        <v>2.25</v>
      </c>
      <c r="D286" s="5">
        <v>48341</v>
      </c>
      <c r="E286">
        <v>7</v>
      </c>
      <c r="F286" t="s">
        <v>76</v>
      </c>
      <c r="G286">
        <v>25000000</v>
      </c>
      <c r="H286">
        <v>0.7</v>
      </c>
      <c r="I286">
        <f t="shared" si="7"/>
        <v>3.0167000000000002</v>
      </c>
      <c r="J286" t="s">
        <v>85</v>
      </c>
      <c r="K286">
        <v>7</v>
      </c>
      <c r="L286" t="s">
        <v>109</v>
      </c>
    </row>
    <row r="287" spans="1:12" ht="15" x14ac:dyDescent="0.25">
      <c r="A287" s="5">
        <v>45770</v>
      </c>
      <c r="B287" t="s">
        <v>30</v>
      </c>
      <c r="C287">
        <v>3</v>
      </c>
      <c r="D287" s="5">
        <v>48407</v>
      </c>
      <c r="E287">
        <v>7</v>
      </c>
      <c r="F287" t="s">
        <v>76</v>
      </c>
      <c r="G287">
        <v>250000000</v>
      </c>
      <c r="H287">
        <v>0.47</v>
      </c>
      <c r="I287">
        <f t="shared" si="7"/>
        <v>2.7866999999999997</v>
      </c>
      <c r="J287" t="s">
        <v>83</v>
      </c>
      <c r="K287">
        <v>7</v>
      </c>
      <c r="L287" t="s">
        <v>107</v>
      </c>
    </row>
    <row r="288" spans="1:12" ht="15" x14ac:dyDescent="0.25">
      <c r="A288" s="5">
        <v>45770</v>
      </c>
      <c r="B288" t="s">
        <v>30</v>
      </c>
      <c r="C288">
        <v>3</v>
      </c>
      <c r="D288" s="5">
        <v>48407</v>
      </c>
      <c r="E288">
        <v>7</v>
      </c>
      <c r="F288" t="s">
        <v>76</v>
      </c>
      <c r="G288">
        <v>250000000</v>
      </c>
      <c r="H288">
        <v>0.47</v>
      </c>
      <c r="I288">
        <f t="shared" si="7"/>
        <v>2.7866999999999997</v>
      </c>
      <c r="J288" t="s">
        <v>84</v>
      </c>
      <c r="K288">
        <v>7</v>
      </c>
      <c r="L288" t="s">
        <v>108</v>
      </c>
    </row>
    <row r="289" spans="1:12" ht="15" x14ac:dyDescent="0.25">
      <c r="A289" s="5">
        <v>45770</v>
      </c>
      <c r="B289" t="s">
        <v>30</v>
      </c>
      <c r="C289">
        <v>3</v>
      </c>
      <c r="D289" s="5">
        <v>48407</v>
      </c>
      <c r="E289">
        <v>7</v>
      </c>
      <c r="F289" t="s">
        <v>76</v>
      </c>
      <c r="G289">
        <v>250000000</v>
      </c>
      <c r="H289">
        <v>0.7</v>
      </c>
      <c r="I289">
        <f t="shared" si="7"/>
        <v>3.0167000000000002</v>
      </c>
      <c r="J289" t="s">
        <v>85</v>
      </c>
      <c r="K289">
        <v>7</v>
      </c>
      <c r="L289" t="s">
        <v>109</v>
      </c>
    </row>
    <row r="290" spans="1:12" ht="15" x14ac:dyDescent="0.25">
      <c r="A290" s="5">
        <v>45761</v>
      </c>
      <c r="B290" t="s">
        <v>9</v>
      </c>
      <c r="C290">
        <v>2.4500000000000002</v>
      </c>
      <c r="D290" s="5">
        <v>48180</v>
      </c>
      <c r="E290">
        <v>7</v>
      </c>
      <c r="F290" t="s">
        <v>76</v>
      </c>
      <c r="G290">
        <v>150000000</v>
      </c>
      <c r="H290">
        <v>0.47</v>
      </c>
      <c r="I290">
        <f t="shared" si="7"/>
        <v>2.7866999999999997</v>
      </c>
      <c r="J290" t="s">
        <v>83</v>
      </c>
      <c r="K290">
        <v>7</v>
      </c>
      <c r="L290" t="s">
        <v>107</v>
      </c>
    </row>
    <row r="291" spans="1:12" ht="15" x14ac:dyDescent="0.25">
      <c r="A291" s="5">
        <v>45761</v>
      </c>
      <c r="B291" t="s">
        <v>9</v>
      </c>
      <c r="C291">
        <v>2.4500000000000002</v>
      </c>
      <c r="D291" s="5">
        <v>48180</v>
      </c>
      <c r="E291">
        <v>7</v>
      </c>
      <c r="F291" t="s">
        <v>76</v>
      </c>
      <c r="G291">
        <v>150000000</v>
      </c>
      <c r="H291">
        <v>0.47</v>
      </c>
      <c r="I291">
        <f t="shared" si="7"/>
        <v>2.7866999999999997</v>
      </c>
      <c r="J291" t="s">
        <v>84</v>
      </c>
      <c r="K291">
        <v>7</v>
      </c>
      <c r="L291" t="s">
        <v>108</v>
      </c>
    </row>
    <row r="292" spans="1:12" ht="15" x14ac:dyDescent="0.25">
      <c r="A292" s="5">
        <v>45761</v>
      </c>
      <c r="B292" t="s">
        <v>9</v>
      </c>
      <c r="C292">
        <v>2.4500000000000002</v>
      </c>
      <c r="D292" s="5">
        <v>48180</v>
      </c>
      <c r="E292">
        <v>7</v>
      </c>
      <c r="F292" t="s">
        <v>76</v>
      </c>
      <c r="G292">
        <v>150000000</v>
      </c>
      <c r="H292">
        <v>0.7</v>
      </c>
      <c r="I292">
        <f t="shared" si="7"/>
        <v>3.0167000000000002</v>
      </c>
      <c r="J292" t="s">
        <v>85</v>
      </c>
      <c r="K292">
        <v>7</v>
      </c>
      <c r="L292" t="s">
        <v>109</v>
      </c>
    </row>
    <row r="293" spans="1:12" ht="15" x14ac:dyDescent="0.25">
      <c r="A293" s="5">
        <v>45758</v>
      </c>
      <c r="B293" t="s">
        <v>21</v>
      </c>
      <c r="C293">
        <v>0.95</v>
      </c>
      <c r="D293" s="5">
        <v>48366</v>
      </c>
      <c r="E293">
        <v>7</v>
      </c>
      <c r="F293" t="s">
        <v>76</v>
      </c>
      <c r="G293">
        <v>22600000000000</v>
      </c>
      <c r="H293">
        <v>0.47</v>
      </c>
      <c r="I293">
        <f t="shared" si="7"/>
        <v>2.7866999999999997</v>
      </c>
      <c r="J293" t="s">
        <v>83</v>
      </c>
      <c r="K293">
        <v>7</v>
      </c>
      <c r="L293" t="s">
        <v>107</v>
      </c>
    </row>
    <row r="294" spans="1:12" ht="15" x14ac:dyDescent="0.25">
      <c r="A294" s="5">
        <v>45758</v>
      </c>
      <c r="B294" t="s">
        <v>21</v>
      </c>
      <c r="C294">
        <v>0.95</v>
      </c>
      <c r="D294" s="5">
        <v>48366</v>
      </c>
      <c r="E294">
        <v>7</v>
      </c>
      <c r="F294" t="s">
        <v>76</v>
      </c>
      <c r="G294">
        <v>22600000000000</v>
      </c>
      <c r="H294">
        <v>0.47</v>
      </c>
      <c r="I294">
        <f t="shared" si="7"/>
        <v>2.7866999999999997</v>
      </c>
      <c r="J294" t="s">
        <v>84</v>
      </c>
      <c r="K294">
        <v>7</v>
      </c>
      <c r="L294" t="s">
        <v>108</v>
      </c>
    </row>
    <row r="295" spans="1:12" ht="15" x14ac:dyDescent="0.25">
      <c r="A295" s="5">
        <v>45758</v>
      </c>
      <c r="B295" t="s">
        <v>21</v>
      </c>
      <c r="C295">
        <v>0.95</v>
      </c>
      <c r="D295" s="5">
        <v>48366</v>
      </c>
      <c r="E295">
        <v>7</v>
      </c>
      <c r="F295" t="s">
        <v>76</v>
      </c>
      <c r="G295">
        <v>22600000000000</v>
      </c>
      <c r="H295">
        <v>0.7</v>
      </c>
      <c r="I295">
        <f t="shared" si="7"/>
        <v>3.0167000000000002</v>
      </c>
      <c r="J295" t="s">
        <v>85</v>
      </c>
      <c r="K295">
        <v>7</v>
      </c>
      <c r="L295" t="s">
        <v>109</v>
      </c>
    </row>
    <row r="296" spans="1:12" ht="15" x14ac:dyDescent="0.25">
      <c r="A296" s="5">
        <v>45758</v>
      </c>
      <c r="B296" t="s">
        <v>21</v>
      </c>
      <c r="C296">
        <v>3.15</v>
      </c>
      <c r="D296" s="5">
        <v>48167</v>
      </c>
      <c r="E296">
        <v>7</v>
      </c>
      <c r="F296" t="s">
        <v>76</v>
      </c>
      <c r="G296">
        <v>21100000000000</v>
      </c>
      <c r="H296">
        <v>0.47</v>
      </c>
      <c r="I296">
        <f t="shared" si="7"/>
        <v>2.7866999999999997</v>
      </c>
      <c r="J296" t="s">
        <v>83</v>
      </c>
      <c r="K296">
        <v>7</v>
      </c>
      <c r="L296" t="s">
        <v>107</v>
      </c>
    </row>
    <row r="297" spans="1:12" ht="15" x14ac:dyDescent="0.25">
      <c r="A297" s="5">
        <v>45758</v>
      </c>
      <c r="B297" t="s">
        <v>21</v>
      </c>
      <c r="C297">
        <v>3.15</v>
      </c>
      <c r="D297" s="5">
        <v>48167</v>
      </c>
      <c r="E297">
        <v>7</v>
      </c>
      <c r="F297" t="s">
        <v>76</v>
      </c>
      <c r="G297">
        <v>21100000000000</v>
      </c>
      <c r="H297">
        <v>0.47</v>
      </c>
      <c r="I297">
        <f t="shared" si="7"/>
        <v>2.7866999999999997</v>
      </c>
      <c r="J297" t="s">
        <v>84</v>
      </c>
      <c r="K297">
        <v>7</v>
      </c>
      <c r="L297" t="s">
        <v>108</v>
      </c>
    </row>
    <row r="298" spans="1:12" ht="15" x14ac:dyDescent="0.25">
      <c r="A298" s="5">
        <v>45758</v>
      </c>
      <c r="B298" t="s">
        <v>21</v>
      </c>
      <c r="C298">
        <v>3.15</v>
      </c>
      <c r="D298" s="5">
        <v>48167</v>
      </c>
      <c r="E298">
        <v>7</v>
      </c>
      <c r="F298" t="s">
        <v>76</v>
      </c>
      <c r="G298">
        <v>21100000000000</v>
      </c>
      <c r="H298">
        <v>0.7</v>
      </c>
      <c r="I298">
        <f t="shared" si="7"/>
        <v>3.0167000000000002</v>
      </c>
      <c r="J298" t="s">
        <v>85</v>
      </c>
      <c r="K298">
        <v>7</v>
      </c>
      <c r="L298" t="s">
        <v>109</v>
      </c>
    </row>
    <row r="299" spans="1:12" ht="15" x14ac:dyDescent="0.25">
      <c r="A299" s="5">
        <v>45758</v>
      </c>
      <c r="B299" t="s">
        <v>50</v>
      </c>
      <c r="C299">
        <v>2.875</v>
      </c>
      <c r="D299" s="5">
        <v>48348</v>
      </c>
      <c r="E299">
        <v>7</v>
      </c>
      <c r="F299" t="s">
        <v>76</v>
      </c>
      <c r="G299">
        <v>30000000</v>
      </c>
      <c r="H299">
        <v>0.47</v>
      </c>
      <c r="I299">
        <f t="shared" si="7"/>
        <v>2.7866999999999997</v>
      </c>
      <c r="J299" t="s">
        <v>83</v>
      </c>
      <c r="K299">
        <v>7</v>
      </c>
      <c r="L299" t="s">
        <v>107</v>
      </c>
    </row>
    <row r="300" spans="1:12" ht="15" x14ac:dyDescent="0.25">
      <c r="A300" s="5">
        <v>45758</v>
      </c>
      <c r="B300" t="s">
        <v>50</v>
      </c>
      <c r="C300">
        <v>2.875</v>
      </c>
      <c r="D300" s="5">
        <v>48348</v>
      </c>
      <c r="E300">
        <v>7</v>
      </c>
      <c r="F300" t="s">
        <v>76</v>
      </c>
      <c r="G300">
        <v>30000000</v>
      </c>
      <c r="H300">
        <v>0.47</v>
      </c>
      <c r="I300">
        <f t="shared" si="7"/>
        <v>2.7866999999999997</v>
      </c>
      <c r="J300" t="s">
        <v>84</v>
      </c>
      <c r="K300">
        <v>7</v>
      </c>
      <c r="L300" t="s">
        <v>108</v>
      </c>
    </row>
    <row r="301" spans="1:12" ht="15" x14ac:dyDescent="0.25">
      <c r="A301" s="5">
        <v>45758</v>
      </c>
      <c r="B301" t="s">
        <v>50</v>
      </c>
      <c r="C301">
        <v>2.875</v>
      </c>
      <c r="D301" s="5">
        <v>48348</v>
      </c>
      <c r="E301">
        <v>7</v>
      </c>
      <c r="F301" t="s">
        <v>76</v>
      </c>
      <c r="G301">
        <v>30000000</v>
      </c>
      <c r="H301">
        <v>0.7</v>
      </c>
      <c r="I301">
        <f t="shared" si="7"/>
        <v>3.0167000000000002</v>
      </c>
      <c r="J301" t="s">
        <v>85</v>
      </c>
      <c r="K301">
        <v>7</v>
      </c>
      <c r="L301" t="s">
        <v>109</v>
      </c>
    </row>
    <row r="302" spans="1:12" ht="15" x14ac:dyDescent="0.25">
      <c r="A302" s="5">
        <v>45758</v>
      </c>
      <c r="B302" t="s">
        <v>41</v>
      </c>
      <c r="C302">
        <v>3.4</v>
      </c>
      <c r="D302" s="5">
        <v>48326</v>
      </c>
      <c r="E302">
        <v>7</v>
      </c>
      <c r="F302" t="s">
        <v>76</v>
      </c>
      <c r="G302">
        <v>11500000000000</v>
      </c>
      <c r="H302">
        <v>0.47</v>
      </c>
      <c r="I302">
        <f t="shared" si="7"/>
        <v>2.7866999999999997</v>
      </c>
      <c r="J302" t="s">
        <v>83</v>
      </c>
      <c r="K302">
        <v>7</v>
      </c>
      <c r="L302" t="s">
        <v>107</v>
      </c>
    </row>
    <row r="303" spans="1:12" ht="15" x14ac:dyDescent="0.25">
      <c r="A303" s="5">
        <v>45758</v>
      </c>
      <c r="B303" t="s">
        <v>41</v>
      </c>
      <c r="C303">
        <v>3.4</v>
      </c>
      <c r="D303" s="5">
        <v>48326</v>
      </c>
      <c r="E303">
        <v>7</v>
      </c>
      <c r="F303" t="s">
        <v>76</v>
      </c>
      <c r="G303">
        <v>11500000000000</v>
      </c>
      <c r="H303">
        <v>0.47</v>
      </c>
      <c r="I303">
        <f t="shared" si="7"/>
        <v>2.7866999999999997</v>
      </c>
      <c r="J303" t="s">
        <v>84</v>
      </c>
      <c r="K303">
        <v>7</v>
      </c>
      <c r="L303" t="s">
        <v>108</v>
      </c>
    </row>
    <row r="304" spans="1:12" ht="15" x14ac:dyDescent="0.25">
      <c r="A304" s="5">
        <v>45758</v>
      </c>
      <c r="B304" t="s">
        <v>41</v>
      </c>
      <c r="C304">
        <v>3.4</v>
      </c>
      <c r="D304" s="5">
        <v>48326</v>
      </c>
      <c r="E304">
        <v>7</v>
      </c>
      <c r="F304" t="s">
        <v>76</v>
      </c>
      <c r="G304">
        <v>11500000000000</v>
      </c>
      <c r="H304">
        <v>0.7</v>
      </c>
      <c r="I304">
        <f t="shared" si="7"/>
        <v>3.0167000000000002</v>
      </c>
      <c r="J304" t="s">
        <v>85</v>
      </c>
      <c r="K304">
        <v>7</v>
      </c>
      <c r="L304" t="s">
        <v>109</v>
      </c>
    </row>
    <row r="305" spans="1:12" ht="15" x14ac:dyDescent="0.25">
      <c r="A305" s="5">
        <v>45756</v>
      </c>
      <c r="B305" t="s">
        <v>53</v>
      </c>
      <c r="C305">
        <v>2.625</v>
      </c>
      <c r="D305" s="5">
        <v>48243</v>
      </c>
      <c r="E305">
        <v>7</v>
      </c>
      <c r="F305" t="s">
        <v>76</v>
      </c>
      <c r="G305">
        <v>750000000</v>
      </c>
      <c r="H305">
        <v>0.47</v>
      </c>
      <c r="I305">
        <f t="shared" si="7"/>
        <v>2.7866999999999997</v>
      </c>
      <c r="J305" t="s">
        <v>83</v>
      </c>
      <c r="K305">
        <v>7</v>
      </c>
      <c r="L305" t="s">
        <v>107</v>
      </c>
    </row>
    <row r="306" spans="1:12" ht="15" x14ac:dyDescent="0.25">
      <c r="A306" s="5">
        <v>45756</v>
      </c>
      <c r="B306" t="s">
        <v>53</v>
      </c>
      <c r="C306">
        <v>2.625</v>
      </c>
      <c r="D306" s="5">
        <v>48243</v>
      </c>
      <c r="E306">
        <v>7</v>
      </c>
      <c r="F306" t="s">
        <v>76</v>
      </c>
      <c r="G306">
        <v>750000000</v>
      </c>
      <c r="H306">
        <v>0.47</v>
      </c>
      <c r="I306">
        <f t="shared" si="7"/>
        <v>2.7866999999999997</v>
      </c>
      <c r="J306" t="s">
        <v>84</v>
      </c>
      <c r="K306">
        <v>7</v>
      </c>
      <c r="L306" t="s">
        <v>108</v>
      </c>
    </row>
    <row r="307" spans="1:12" ht="15" x14ac:dyDescent="0.25">
      <c r="A307" s="5">
        <v>45756</v>
      </c>
      <c r="B307" t="s">
        <v>53</v>
      </c>
      <c r="C307">
        <v>2.625</v>
      </c>
      <c r="D307" s="5">
        <v>48243</v>
      </c>
      <c r="E307">
        <v>7</v>
      </c>
      <c r="F307" t="s">
        <v>76</v>
      </c>
      <c r="G307">
        <v>750000000</v>
      </c>
      <c r="H307">
        <v>0.7</v>
      </c>
      <c r="I307">
        <f t="shared" si="7"/>
        <v>3.0167000000000002</v>
      </c>
      <c r="J307" t="s">
        <v>85</v>
      </c>
      <c r="K307">
        <v>7</v>
      </c>
      <c r="L307" t="s">
        <v>109</v>
      </c>
    </row>
    <row r="308" spans="1:12" ht="15" x14ac:dyDescent="0.25">
      <c r="A308" s="5">
        <v>45756</v>
      </c>
      <c r="B308" t="s">
        <v>54</v>
      </c>
      <c r="C308">
        <v>1.75</v>
      </c>
      <c r="D308" s="5">
        <v>48320</v>
      </c>
      <c r="E308">
        <v>7</v>
      </c>
      <c r="F308" t="s">
        <v>76</v>
      </c>
      <c r="G308">
        <v>300000000</v>
      </c>
      <c r="H308">
        <v>0.47</v>
      </c>
      <c r="I308">
        <f t="shared" si="7"/>
        <v>2.7866999999999997</v>
      </c>
      <c r="J308" t="s">
        <v>83</v>
      </c>
      <c r="K308">
        <v>7</v>
      </c>
      <c r="L308" t="s">
        <v>107</v>
      </c>
    </row>
    <row r="309" spans="1:12" ht="15" x14ac:dyDescent="0.25">
      <c r="A309" s="5">
        <v>45756</v>
      </c>
      <c r="B309" t="s">
        <v>54</v>
      </c>
      <c r="C309">
        <v>1.75</v>
      </c>
      <c r="D309" s="5">
        <v>48320</v>
      </c>
      <c r="E309">
        <v>7</v>
      </c>
      <c r="F309" t="s">
        <v>76</v>
      </c>
      <c r="G309">
        <v>300000000</v>
      </c>
      <c r="H309">
        <v>0.47</v>
      </c>
      <c r="I309">
        <f t="shared" si="7"/>
        <v>2.7866999999999997</v>
      </c>
      <c r="J309" t="s">
        <v>84</v>
      </c>
      <c r="K309">
        <v>7</v>
      </c>
      <c r="L309" t="s">
        <v>108</v>
      </c>
    </row>
    <row r="310" spans="1:12" ht="15" x14ac:dyDescent="0.25">
      <c r="A310" s="5">
        <v>45756</v>
      </c>
      <c r="B310" t="s">
        <v>54</v>
      </c>
      <c r="C310">
        <v>1.75</v>
      </c>
      <c r="D310" s="5">
        <v>48320</v>
      </c>
      <c r="E310">
        <v>7</v>
      </c>
      <c r="F310" t="s">
        <v>76</v>
      </c>
      <c r="G310">
        <v>300000000</v>
      </c>
      <c r="H310">
        <v>0.7</v>
      </c>
      <c r="I310">
        <f t="shared" si="7"/>
        <v>3.0167000000000002</v>
      </c>
      <c r="J310" t="s">
        <v>85</v>
      </c>
      <c r="K310">
        <v>7</v>
      </c>
      <c r="L310" t="s">
        <v>109</v>
      </c>
    </row>
    <row r="311" spans="1:12" ht="15" x14ac:dyDescent="0.25">
      <c r="A311" s="5">
        <v>45755</v>
      </c>
      <c r="B311" t="s">
        <v>9</v>
      </c>
      <c r="C311">
        <v>3</v>
      </c>
      <c r="D311" s="5">
        <v>48348</v>
      </c>
      <c r="E311">
        <v>7</v>
      </c>
      <c r="F311" t="s">
        <v>76</v>
      </c>
      <c r="G311">
        <v>100000000</v>
      </c>
      <c r="H311">
        <v>0.47</v>
      </c>
      <c r="I311">
        <f t="shared" si="7"/>
        <v>2.7866999999999997</v>
      </c>
      <c r="J311" t="s">
        <v>83</v>
      </c>
      <c r="K311">
        <v>7</v>
      </c>
      <c r="L311" t="s">
        <v>107</v>
      </c>
    </row>
    <row r="312" spans="1:12" ht="15" x14ac:dyDescent="0.25">
      <c r="A312" s="5">
        <v>45755</v>
      </c>
      <c r="B312" t="s">
        <v>9</v>
      </c>
      <c r="C312">
        <v>3</v>
      </c>
      <c r="D312" s="5">
        <v>48348</v>
      </c>
      <c r="E312">
        <v>7</v>
      </c>
      <c r="F312" t="s">
        <v>76</v>
      </c>
      <c r="G312">
        <v>100000000</v>
      </c>
      <c r="H312">
        <v>0.47</v>
      </c>
      <c r="I312">
        <f t="shared" si="7"/>
        <v>2.7866999999999997</v>
      </c>
      <c r="J312" t="s">
        <v>84</v>
      </c>
      <c r="K312">
        <v>7</v>
      </c>
      <c r="L312" t="s">
        <v>108</v>
      </c>
    </row>
    <row r="313" spans="1:12" ht="15" x14ac:dyDescent="0.25">
      <c r="A313" s="5">
        <v>45755</v>
      </c>
      <c r="B313" t="s">
        <v>9</v>
      </c>
      <c r="C313">
        <v>3</v>
      </c>
      <c r="D313" s="5">
        <v>48348</v>
      </c>
      <c r="E313">
        <v>7</v>
      </c>
      <c r="F313" t="s">
        <v>76</v>
      </c>
      <c r="G313">
        <v>100000000</v>
      </c>
      <c r="H313">
        <v>0.7</v>
      </c>
      <c r="I313">
        <f t="shared" si="7"/>
        <v>3.0167000000000002</v>
      </c>
      <c r="J313" t="s">
        <v>85</v>
      </c>
      <c r="K313">
        <v>7</v>
      </c>
      <c r="L313" t="s">
        <v>109</v>
      </c>
    </row>
    <row r="314" spans="1:12" ht="15" x14ac:dyDescent="0.25">
      <c r="A314" s="5">
        <v>45755</v>
      </c>
      <c r="B314" t="s">
        <v>58</v>
      </c>
      <c r="C314">
        <v>0.5</v>
      </c>
      <c r="D314" s="5">
        <v>48410</v>
      </c>
      <c r="E314">
        <v>7</v>
      </c>
      <c r="F314" t="s">
        <v>76</v>
      </c>
      <c r="G314">
        <v>16040000000000</v>
      </c>
      <c r="H314">
        <v>0.47</v>
      </c>
      <c r="I314">
        <f t="shared" si="7"/>
        <v>2.7866999999999997</v>
      </c>
      <c r="J314" t="s">
        <v>83</v>
      </c>
      <c r="K314">
        <v>7</v>
      </c>
      <c r="L314" t="s">
        <v>107</v>
      </c>
    </row>
    <row r="315" spans="1:12" ht="15" x14ac:dyDescent="0.25">
      <c r="A315" s="5">
        <v>45755</v>
      </c>
      <c r="B315" t="s">
        <v>58</v>
      </c>
      <c r="C315">
        <v>0.5</v>
      </c>
      <c r="D315" s="5">
        <v>48410</v>
      </c>
      <c r="E315">
        <v>7</v>
      </c>
      <c r="F315" t="s">
        <v>76</v>
      </c>
      <c r="G315">
        <v>16040000000000</v>
      </c>
      <c r="H315">
        <v>0.47</v>
      </c>
      <c r="I315">
        <f t="shared" si="7"/>
        <v>2.7866999999999997</v>
      </c>
      <c r="J315" t="s">
        <v>84</v>
      </c>
      <c r="K315">
        <v>7</v>
      </c>
      <c r="L315" t="s">
        <v>108</v>
      </c>
    </row>
    <row r="316" spans="1:12" ht="15" x14ac:dyDescent="0.25">
      <c r="A316" s="5">
        <v>45755</v>
      </c>
      <c r="B316" t="s">
        <v>58</v>
      </c>
      <c r="C316">
        <v>0.5</v>
      </c>
      <c r="D316" s="5">
        <v>48410</v>
      </c>
      <c r="E316">
        <v>7</v>
      </c>
      <c r="F316" t="s">
        <v>76</v>
      </c>
      <c r="G316">
        <v>16040000000000</v>
      </c>
      <c r="H316">
        <v>0.7</v>
      </c>
      <c r="I316">
        <f t="shared" si="7"/>
        <v>3.0167000000000002</v>
      </c>
      <c r="J316" t="s">
        <v>85</v>
      </c>
      <c r="K316">
        <v>7</v>
      </c>
      <c r="L316" t="s">
        <v>109</v>
      </c>
    </row>
    <row r="317" spans="1:12" ht="15" x14ac:dyDescent="0.25">
      <c r="A317" s="5">
        <v>45748</v>
      </c>
      <c r="B317" t="s">
        <v>69</v>
      </c>
      <c r="C317">
        <v>5.8000000000000007</v>
      </c>
      <c r="D317" s="5">
        <v>48326</v>
      </c>
      <c r="E317">
        <v>7</v>
      </c>
      <c r="F317" t="s">
        <v>76</v>
      </c>
      <c r="G317">
        <v>15000000</v>
      </c>
      <c r="H317">
        <v>0.47</v>
      </c>
      <c r="I317">
        <f t="shared" si="7"/>
        <v>2.7866999999999997</v>
      </c>
      <c r="J317" t="s">
        <v>83</v>
      </c>
      <c r="K317">
        <v>7</v>
      </c>
      <c r="L317" t="s">
        <v>107</v>
      </c>
    </row>
    <row r="318" spans="1:12" ht="15" x14ac:dyDescent="0.25">
      <c r="A318" s="5">
        <v>45748</v>
      </c>
      <c r="B318" t="s">
        <v>69</v>
      </c>
      <c r="C318">
        <v>5.8000000000000007</v>
      </c>
      <c r="D318" s="5">
        <v>48326</v>
      </c>
      <c r="E318">
        <v>7</v>
      </c>
      <c r="F318" t="s">
        <v>76</v>
      </c>
      <c r="G318">
        <v>15000000</v>
      </c>
      <c r="H318">
        <v>0.47</v>
      </c>
      <c r="I318">
        <f t="shared" si="7"/>
        <v>2.7866999999999997</v>
      </c>
      <c r="J318" t="s">
        <v>84</v>
      </c>
      <c r="K318">
        <v>7</v>
      </c>
      <c r="L318" t="s">
        <v>108</v>
      </c>
    </row>
    <row r="319" spans="1:12" ht="15" x14ac:dyDescent="0.25">
      <c r="A319" s="5">
        <v>45748</v>
      </c>
      <c r="B319" t="s">
        <v>69</v>
      </c>
      <c r="C319">
        <v>5.8000000000000007</v>
      </c>
      <c r="D319" s="5">
        <v>48326</v>
      </c>
      <c r="E319">
        <v>7</v>
      </c>
      <c r="F319" t="s">
        <v>76</v>
      </c>
      <c r="G319">
        <v>15000000</v>
      </c>
      <c r="H319">
        <v>0.7</v>
      </c>
      <c r="I319">
        <f t="shared" si="7"/>
        <v>3.0167000000000002</v>
      </c>
      <c r="J319" t="s">
        <v>85</v>
      </c>
      <c r="K319">
        <v>7</v>
      </c>
      <c r="L319" t="s">
        <v>109</v>
      </c>
    </row>
    <row r="320" spans="1:12" ht="15" x14ac:dyDescent="0.25">
      <c r="A320" s="5">
        <v>45748</v>
      </c>
      <c r="B320" t="s">
        <v>70</v>
      </c>
      <c r="C320">
        <v>7.0000000000000009</v>
      </c>
      <c r="D320" s="5">
        <v>48148</v>
      </c>
      <c r="E320">
        <v>7</v>
      </c>
      <c r="F320" t="s">
        <v>76</v>
      </c>
      <c r="G320">
        <v>615000000</v>
      </c>
      <c r="H320">
        <v>0.47</v>
      </c>
      <c r="I320">
        <f t="shared" si="7"/>
        <v>2.7866999999999997</v>
      </c>
      <c r="J320" t="s">
        <v>83</v>
      </c>
      <c r="K320">
        <v>7</v>
      </c>
      <c r="L320" t="s">
        <v>107</v>
      </c>
    </row>
    <row r="321" spans="1:12" ht="15" x14ac:dyDescent="0.25">
      <c r="A321" s="5">
        <v>45748</v>
      </c>
      <c r="B321" t="s">
        <v>70</v>
      </c>
      <c r="C321">
        <v>7.0000000000000009</v>
      </c>
      <c r="D321" s="5">
        <v>48148</v>
      </c>
      <c r="E321">
        <v>7</v>
      </c>
      <c r="F321" t="s">
        <v>76</v>
      </c>
      <c r="G321">
        <v>615000000</v>
      </c>
      <c r="H321">
        <v>0.47</v>
      </c>
      <c r="I321">
        <f t="shared" si="7"/>
        <v>2.7866999999999997</v>
      </c>
      <c r="J321" t="s">
        <v>84</v>
      </c>
      <c r="K321">
        <v>7</v>
      </c>
      <c r="L321" t="s">
        <v>108</v>
      </c>
    </row>
    <row r="322" spans="1:12" ht="15" x14ac:dyDescent="0.25">
      <c r="A322" s="5">
        <v>45748</v>
      </c>
      <c r="B322" t="s">
        <v>70</v>
      </c>
      <c r="C322">
        <v>7.0000000000000009</v>
      </c>
      <c r="D322" s="5">
        <v>48148</v>
      </c>
      <c r="E322">
        <v>7</v>
      </c>
      <c r="F322" t="s">
        <v>76</v>
      </c>
      <c r="G322">
        <v>615000000</v>
      </c>
      <c r="H322">
        <v>0.7</v>
      </c>
      <c r="I322">
        <f t="shared" si="7"/>
        <v>3.0167000000000002</v>
      </c>
      <c r="J322" t="s">
        <v>85</v>
      </c>
      <c r="K322">
        <v>7</v>
      </c>
      <c r="L322" t="s">
        <v>109</v>
      </c>
    </row>
    <row r="323" spans="1:12" ht="15" x14ac:dyDescent="0.25">
      <c r="A323" s="5">
        <v>45748</v>
      </c>
      <c r="B323" t="s">
        <v>9</v>
      </c>
      <c r="C323">
        <v>2.5</v>
      </c>
      <c r="D323" s="5">
        <v>48152</v>
      </c>
      <c r="E323">
        <v>7</v>
      </c>
      <c r="F323" t="s">
        <v>76</v>
      </c>
      <c r="G323">
        <v>150000000</v>
      </c>
      <c r="H323">
        <v>0.47</v>
      </c>
      <c r="I323">
        <f t="shared" si="7"/>
        <v>2.7866999999999997</v>
      </c>
      <c r="J323" t="s">
        <v>83</v>
      </c>
      <c r="K323">
        <v>7</v>
      </c>
      <c r="L323" t="s">
        <v>107</v>
      </c>
    </row>
    <row r="324" spans="1:12" ht="15" x14ac:dyDescent="0.25">
      <c r="A324" s="5">
        <v>45748</v>
      </c>
      <c r="B324" t="s">
        <v>9</v>
      </c>
      <c r="C324">
        <v>2.5</v>
      </c>
      <c r="D324" s="5">
        <v>48152</v>
      </c>
      <c r="E324">
        <v>7</v>
      </c>
      <c r="F324" t="s">
        <v>76</v>
      </c>
      <c r="G324">
        <v>150000000</v>
      </c>
      <c r="H324">
        <v>0.47</v>
      </c>
      <c r="I324">
        <f t="shared" si="7"/>
        <v>2.7866999999999997</v>
      </c>
      <c r="J324" t="s">
        <v>84</v>
      </c>
      <c r="K324">
        <v>7</v>
      </c>
      <c r="L324" t="s">
        <v>108</v>
      </c>
    </row>
    <row r="325" spans="1:12" ht="15" x14ac:dyDescent="0.25">
      <c r="A325" s="5">
        <v>45748</v>
      </c>
      <c r="B325" t="s">
        <v>9</v>
      </c>
      <c r="C325">
        <v>2.5</v>
      </c>
      <c r="D325" s="5">
        <v>48152</v>
      </c>
      <c r="E325">
        <v>7</v>
      </c>
      <c r="F325" t="s">
        <v>76</v>
      </c>
      <c r="G325">
        <v>150000000</v>
      </c>
      <c r="H325">
        <v>0.7</v>
      </c>
      <c r="I325">
        <f t="shared" si="7"/>
        <v>3.0167000000000002</v>
      </c>
      <c r="J325" t="s">
        <v>85</v>
      </c>
      <c r="K325">
        <v>7</v>
      </c>
      <c r="L325" t="s">
        <v>109</v>
      </c>
    </row>
    <row r="326" spans="1:12" ht="15" x14ac:dyDescent="0.25">
      <c r="A326" s="5">
        <v>45748</v>
      </c>
      <c r="B326" t="s">
        <v>74</v>
      </c>
      <c r="C326">
        <v>5.5</v>
      </c>
      <c r="D326" s="5">
        <v>48304</v>
      </c>
      <c r="E326">
        <v>7</v>
      </c>
      <c r="F326" t="s">
        <v>76</v>
      </c>
      <c r="G326">
        <v>1250000000000</v>
      </c>
      <c r="H326">
        <v>0.47</v>
      </c>
      <c r="I326">
        <f t="shared" si="7"/>
        <v>2.7866999999999997</v>
      </c>
      <c r="J326" t="s">
        <v>83</v>
      </c>
      <c r="K326">
        <v>7</v>
      </c>
      <c r="L326" t="s">
        <v>107</v>
      </c>
    </row>
    <row r="327" spans="1:12" ht="15" x14ac:dyDescent="0.25">
      <c r="A327" s="5">
        <v>45748</v>
      </c>
      <c r="B327" t="s">
        <v>74</v>
      </c>
      <c r="C327">
        <v>5.5</v>
      </c>
      <c r="D327" s="5">
        <v>48304</v>
      </c>
      <c r="E327">
        <v>7</v>
      </c>
      <c r="F327" t="s">
        <v>76</v>
      </c>
      <c r="G327">
        <v>1250000000000</v>
      </c>
      <c r="H327">
        <v>0.47</v>
      </c>
      <c r="I327">
        <f t="shared" si="7"/>
        <v>2.7866999999999997</v>
      </c>
      <c r="J327" t="s">
        <v>84</v>
      </c>
      <c r="K327">
        <v>7</v>
      </c>
      <c r="L327" t="s">
        <v>108</v>
      </c>
    </row>
    <row r="328" spans="1:12" ht="15" x14ac:dyDescent="0.25">
      <c r="A328" s="5">
        <v>45748</v>
      </c>
      <c r="B328" t="s">
        <v>74</v>
      </c>
      <c r="C328">
        <v>5.5</v>
      </c>
      <c r="D328" s="5">
        <v>48304</v>
      </c>
      <c r="E328">
        <v>7</v>
      </c>
      <c r="F328" t="s">
        <v>76</v>
      </c>
      <c r="G328">
        <v>1250000000000</v>
      </c>
      <c r="H328">
        <v>0.7</v>
      </c>
      <c r="I328">
        <f t="shared" si="7"/>
        <v>3.0167000000000002</v>
      </c>
      <c r="J328" t="s">
        <v>85</v>
      </c>
      <c r="K328">
        <v>7</v>
      </c>
      <c r="L328" t="s">
        <v>109</v>
      </c>
    </row>
    <row r="329" spans="1:12" ht="15" x14ac:dyDescent="0.25">
      <c r="A329" s="5">
        <v>45777</v>
      </c>
      <c r="B329" t="s">
        <v>9</v>
      </c>
      <c r="C329">
        <v>3</v>
      </c>
      <c r="D329" s="5">
        <v>48743</v>
      </c>
      <c r="E329">
        <v>8</v>
      </c>
      <c r="F329" t="s">
        <v>76</v>
      </c>
      <c r="G329">
        <v>100000000</v>
      </c>
      <c r="H329">
        <v>0.49</v>
      </c>
      <c r="I329">
        <f>H329+2.4263</f>
        <v>2.9162999999999997</v>
      </c>
      <c r="J329" t="s">
        <v>78</v>
      </c>
      <c r="K329">
        <v>8</v>
      </c>
      <c r="L329" t="s">
        <v>107</v>
      </c>
    </row>
    <row r="330" spans="1:12" ht="15" x14ac:dyDescent="0.25">
      <c r="A330" s="5">
        <v>45777</v>
      </c>
      <c r="B330" t="s">
        <v>9</v>
      </c>
      <c r="C330">
        <v>3</v>
      </c>
      <c r="D330" s="5">
        <v>48743</v>
      </c>
      <c r="E330">
        <v>8</v>
      </c>
      <c r="F330" t="s">
        <v>76</v>
      </c>
      <c r="G330">
        <v>100000000</v>
      </c>
      <c r="H330">
        <v>0.49</v>
      </c>
      <c r="I330">
        <f t="shared" ref="I330:I361" si="8">H330+2.4263</f>
        <v>2.9162999999999997</v>
      </c>
      <c r="J330" t="s">
        <v>79</v>
      </c>
      <c r="K330">
        <v>8</v>
      </c>
      <c r="L330" t="s">
        <v>108</v>
      </c>
    </row>
    <row r="331" spans="1:12" ht="15" x14ac:dyDescent="0.25">
      <c r="A331" s="5">
        <v>45777</v>
      </c>
      <c r="B331" t="s">
        <v>9</v>
      </c>
      <c r="C331">
        <v>3</v>
      </c>
      <c r="D331" s="5">
        <v>48743</v>
      </c>
      <c r="E331">
        <v>8</v>
      </c>
      <c r="F331" t="s">
        <v>76</v>
      </c>
      <c r="G331">
        <v>100000000</v>
      </c>
      <c r="H331">
        <v>0.71</v>
      </c>
      <c r="I331">
        <f t="shared" si="8"/>
        <v>3.1362999999999999</v>
      </c>
      <c r="J331" t="s">
        <v>80</v>
      </c>
      <c r="K331">
        <v>8</v>
      </c>
      <c r="L331" t="s">
        <v>109</v>
      </c>
    </row>
    <row r="332" spans="1:12" ht="15" x14ac:dyDescent="0.25">
      <c r="A332" s="5">
        <v>45769</v>
      </c>
      <c r="B332" t="s">
        <v>32</v>
      </c>
      <c r="C332">
        <v>3.15</v>
      </c>
      <c r="D332" s="5">
        <v>48729</v>
      </c>
      <c r="E332">
        <v>8</v>
      </c>
      <c r="F332" t="s">
        <v>76</v>
      </c>
      <c r="G332">
        <v>20000000</v>
      </c>
      <c r="H332">
        <v>0.49</v>
      </c>
      <c r="I332">
        <f t="shared" si="8"/>
        <v>2.9162999999999997</v>
      </c>
      <c r="J332" t="s">
        <v>78</v>
      </c>
      <c r="K332">
        <v>8</v>
      </c>
      <c r="L332" t="s">
        <v>107</v>
      </c>
    </row>
    <row r="333" spans="1:12" ht="15" x14ac:dyDescent="0.25">
      <c r="A333" s="5">
        <v>45769</v>
      </c>
      <c r="B333" t="s">
        <v>32</v>
      </c>
      <c r="C333">
        <v>3.15</v>
      </c>
      <c r="D333" s="5">
        <v>48729</v>
      </c>
      <c r="E333">
        <v>8</v>
      </c>
      <c r="F333" t="s">
        <v>76</v>
      </c>
      <c r="G333">
        <v>20000000</v>
      </c>
      <c r="H333">
        <v>0.49</v>
      </c>
      <c r="I333">
        <f t="shared" si="8"/>
        <v>2.9162999999999997</v>
      </c>
      <c r="J333" t="s">
        <v>79</v>
      </c>
      <c r="K333">
        <v>8</v>
      </c>
      <c r="L333" t="s">
        <v>108</v>
      </c>
    </row>
    <row r="334" spans="1:12" ht="15" x14ac:dyDescent="0.25">
      <c r="A334" s="5">
        <v>45769</v>
      </c>
      <c r="B334" t="s">
        <v>32</v>
      </c>
      <c r="C334">
        <v>3.15</v>
      </c>
      <c r="D334" s="5">
        <v>48729</v>
      </c>
      <c r="E334">
        <v>8</v>
      </c>
      <c r="F334" t="s">
        <v>76</v>
      </c>
      <c r="G334">
        <v>20000000</v>
      </c>
      <c r="H334">
        <v>0.71</v>
      </c>
      <c r="I334">
        <f t="shared" si="8"/>
        <v>3.1362999999999999</v>
      </c>
      <c r="J334" t="s">
        <v>80</v>
      </c>
      <c r="K334">
        <v>8</v>
      </c>
      <c r="L334" t="s">
        <v>109</v>
      </c>
    </row>
    <row r="335" spans="1:12" ht="15" x14ac:dyDescent="0.25">
      <c r="A335" s="5">
        <v>45769</v>
      </c>
      <c r="B335" t="s">
        <v>32</v>
      </c>
      <c r="C335">
        <v>2.8</v>
      </c>
      <c r="D335" s="5">
        <v>48729</v>
      </c>
      <c r="E335">
        <v>8</v>
      </c>
      <c r="F335" t="s">
        <v>76</v>
      </c>
      <c r="G335">
        <v>20000000</v>
      </c>
      <c r="H335">
        <v>0.49</v>
      </c>
      <c r="I335">
        <f t="shared" si="8"/>
        <v>2.9162999999999997</v>
      </c>
      <c r="J335" t="s">
        <v>78</v>
      </c>
      <c r="K335">
        <v>8</v>
      </c>
      <c r="L335" t="s">
        <v>107</v>
      </c>
    </row>
    <row r="336" spans="1:12" ht="15" x14ac:dyDescent="0.25">
      <c r="A336" s="5">
        <v>45769</v>
      </c>
      <c r="B336" t="s">
        <v>32</v>
      </c>
      <c r="C336">
        <v>2.8</v>
      </c>
      <c r="D336" s="5">
        <v>48729</v>
      </c>
      <c r="E336">
        <v>8</v>
      </c>
      <c r="F336" t="s">
        <v>76</v>
      </c>
      <c r="G336">
        <v>20000000</v>
      </c>
      <c r="H336">
        <v>0.49</v>
      </c>
      <c r="I336">
        <f t="shared" si="8"/>
        <v>2.9162999999999997</v>
      </c>
      <c r="J336" t="s">
        <v>79</v>
      </c>
      <c r="K336">
        <v>8</v>
      </c>
      <c r="L336" t="s">
        <v>108</v>
      </c>
    </row>
    <row r="337" spans="1:12" ht="15" x14ac:dyDescent="0.25">
      <c r="A337" s="5">
        <v>45769</v>
      </c>
      <c r="B337" t="s">
        <v>32</v>
      </c>
      <c r="C337">
        <v>2.8</v>
      </c>
      <c r="D337" s="5">
        <v>48729</v>
      </c>
      <c r="E337">
        <v>8</v>
      </c>
      <c r="F337" t="s">
        <v>76</v>
      </c>
      <c r="G337">
        <v>20000000</v>
      </c>
      <c r="H337">
        <v>0.71</v>
      </c>
      <c r="I337">
        <f t="shared" si="8"/>
        <v>3.1362999999999999</v>
      </c>
      <c r="J337" t="s">
        <v>80</v>
      </c>
      <c r="K337">
        <v>8</v>
      </c>
      <c r="L337" t="s">
        <v>109</v>
      </c>
    </row>
    <row r="338" spans="1:12" ht="15" x14ac:dyDescent="0.25">
      <c r="A338" s="5">
        <v>45769</v>
      </c>
      <c r="B338" t="s">
        <v>34</v>
      </c>
      <c r="C338">
        <v>2.9</v>
      </c>
      <c r="D338" s="5">
        <v>48729</v>
      </c>
      <c r="E338">
        <v>8</v>
      </c>
      <c r="F338" t="s">
        <v>76</v>
      </c>
      <c r="G338">
        <v>52000000</v>
      </c>
      <c r="H338">
        <v>0.49</v>
      </c>
      <c r="I338">
        <f t="shared" si="8"/>
        <v>2.9162999999999997</v>
      </c>
      <c r="J338" t="s">
        <v>78</v>
      </c>
      <c r="K338">
        <v>8</v>
      </c>
      <c r="L338" t="s">
        <v>107</v>
      </c>
    </row>
    <row r="339" spans="1:12" ht="15" x14ac:dyDescent="0.25">
      <c r="A339" s="5">
        <v>45769</v>
      </c>
      <c r="B339" t="s">
        <v>34</v>
      </c>
      <c r="C339">
        <v>2.9</v>
      </c>
      <c r="D339" s="5">
        <v>48729</v>
      </c>
      <c r="E339">
        <v>8</v>
      </c>
      <c r="F339" t="s">
        <v>76</v>
      </c>
      <c r="G339">
        <v>52000000</v>
      </c>
      <c r="H339">
        <v>0.49</v>
      </c>
      <c r="I339">
        <f t="shared" si="8"/>
        <v>2.9162999999999997</v>
      </c>
      <c r="J339" t="s">
        <v>79</v>
      </c>
      <c r="K339">
        <v>8</v>
      </c>
      <c r="L339" t="s">
        <v>108</v>
      </c>
    </row>
    <row r="340" spans="1:12" ht="15" x14ac:dyDescent="0.25">
      <c r="A340" s="5">
        <v>45769</v>
      </c>
      <c r="B340" t="s">
        <v>34</v>
      </c>
      <c r="C340">
        <v>2.9</v>
      </c>
      <c r="D340" s="5">
        <v>48729</v>
      </c>
      <c r="E340">
        <v>8</v>
      </c>
      <c r="F340" t="s">
        <v>76</v>
      </c>
      <c r="G340">
        <v>52000000</v>
      </c>
      <c r="H340">
        <v>0.71</v>
      </c>
      <c r="I340">
        <f t="shared" si="8"/>
        <v>3.1362999999999999</v>
      </c>
      <c r="J340" t="s">
        <v>80</v>
      </c>
      <c r="K340">
        <v>8</v>
      </c>
      <c r="L340" t="s">
        <v>109</v>
      </c>
    </row>
    <row r="341" spans="1:12" ht="15" x14ac:dyDescent="0.25">
      <c r="A341" s="5">
        <v>45764</v>
      </c>
      <c r="B341" t="s">
        <v>40</v>
      </c>
      <c r="C341">
        <v>2</v>
      </c>
      <c r="D341" s="5">
        <v>48543</v>
      </c>
      <c r="E341">
        <v>8</v>
      </c>
      <c r="F341" t="s">
        <v>76</v>
      </c>
      <c r="G341">
        <v>56410000000000</v>
      </c>
      <c r="H341">
        <v>0.49</v>
      </c>
      <c r="I341">
        <f t="shared" si="8"/>
        <v>2.9162999999999997</v>
      </c>
      <c r="J341" t="s">
        <v>78</v>
      </c>
      <c r="K341">
        <v>8</v>
      </c>
      <c r="L341" t="s">
        <v>107</v>
      </c>
    </row>
    <row r="342" spans="1:12" ht="15" x14ac:dyDescent="0.25">
      <c r="A342" s="5">
        <v>45764</v>
      </c>
      <c r="B342" t="s">
        <v>40</v>
      </c>
      <c r="C342">
        <v>2</v>
      </c>
      <c r="D342" s="5">
        <v>48543</v>
      </c>
      <c r="E342">
        <v>8</v>
      </c>
      <c r="F342" t="s">
        <v>76</v>
      </c>
      <c r="G342">
        <v>56410000000000</v>
      </c>
      <c r="H342">
        <v>0.49</v>
      </c>
      <c r="I342">
        <f t="shared" si="8"/>
        <v>2.9162999999999997</v>
      </c>
      <c r="J342" t="s">
        <v>79</v>
      </c>
      <c r="K342">
        <v>8</v>
      </c>
      <c r="L342" t="s">
        <v>108</v>
      </c>
    </row>
    <row r="343" spans="1:12" ht="15" x14ac:dyDescent="0.25">
      <c r="A343" s="5">
        <v>45764</v>
      </c>
      <c r="B343" t="s">
        <v>40</v>
      </c>
      <c r="C343">
        <v>2</v>
      </c>
      <c r="D343" s="5">
        <v>48543</v>
      </c>
      <c r="E343">
        <v>8</v>
      </c>
      <c r="F343" t="s">
        <v>76</v>
      </c>
      <c r="G343">
        <v>56410000000000</v>
      </c>
      <c r="H343">
        <v>0.71</v>
      </c>
      <c r="I343">
        <f t="shared" si="8"/>
        <v>3.1362999999999999</v>
      </c>
      <c r="J343" t="s">
        <v>80</v>
      </c>
      <c r="K343">
        <v>8</v>
      </c>
      <c r="L343" t="s">
        <v>109</v>
      </c>
    </row>
    <row r="344" spans="1:12" ht="15" x14ac:dyDescent="0.25">
      <c r="A344" s="5">
        <v>45761</v>
      </c>
      <c r="B344" t="s">
        <v>31</v>
      </c>
      <c r="C344">
        <v>3.44</v>
      </c>
      <c r="D344" s="5">
        <v>48691</v>
      </c>
      <c r="E344">
        <v>8</v>
      </c>
      <c r="F344" t="s">
        <v>76</v>
      </c>
      <c r="G344">
        <v>24000000</v>
      </c>
      <c r="H344">
        <v>0.49</v>
      </c>
      <c r="I344">
        <f t="shared" si="8"/>
        <v>2.9162999999999997</v>
      </c>
      <c r="J344" t="s">
        <v>78</v>
      </c>
      <c r="K344">
        <v>8</v>
      </c>
      <c r="L344" t="s">
        <v>107</v>
      </c>
    </row>
    <row r="345" spans="1:12" ht="15" x14ac:dyDescent="0.25">
      <c r="A345" s="5">
        <v>45761</v>
      </c>
      <c r="B345" t="s">
        <v>31</v>
      </c>
      <c r="C345">
        <v>3.44</v>
      </c>
      <c r="D345" s="5">
        <v>48691</v>
      </c>
      <c r="E345">
        <v>8</v>
      </c>
      <c r="F345" t="s">
        <v>76</v>
      </c>
      <c r="G345">
        <v>24000000</v>
      </c>
      <c r="H345">
        <v>0.49</v>
      </c>
      <c r="I345">
        <f t="shared" si="8"/>
        <v>2.9162999999999997</v>
      </c>
      <c r="J345" t="s">
        <v>79</v>
      </c>
      <c r="K345">
        <v>8</v>
      </c>
      <c r="L345" t="s">
        <v>108</v>
      </c>
    </row>
    <row r="346" spans="1:12" ht="15" x14ac:dyDescent="0.25">
      <c r="A346" s="5">
        <v>45761</v>
      </c>
      <c r="B346" t="s">
        <v>31</v>
      </c>
      <c r="C346">
        <v>3.44</v>
      </c>
      <c r="D346" s="5">
        <v>48691</v>
      </c>
      <c r="E346">
        <v>8</v>
      </c>
      <c r="F346" t="s">
        <v>76</v>
      </c>
      <c r="G346">
        <v>24000000</v>
      </c>
      <c r="H346">
        <v>0.71</v>
      </c>
      <c r="I346">
        <f t="shared" si="8"/>
        <v>3.1362999999999999</v>
      </c>
      <c r="J346" t="s">
        <v>80</v>
      </c>
      <c r="K346">
        <v>8</v>
      </c>
      <c r="L346" t="s">
        <v>109</v>
      </c>
    </row>
    <row r="347" spans="1:12" ht="15" x14ac:dyDescent="0.25">
      <c r="A347" s="5">
        <v>45758</v>
      </c>
      <c r="B347" t="s">
        <v>50</v>
      </c>
      <c r="C347">
        <v>2.75</v>
      </c>
      <c r="D347" s="5">
        <v>48625</v>
      </c>
      <c r="E347">
        <v>8</v>
      </c>
      <c r="F347" t="s">
        <v>76</v>
      </c>
      <c r="G347">
        <v>28000000</v>
      </c>
      <c r="H347">
        <v>0.49</v>
      </c>
      <c r="I347">
        <f t="shared" si="8"/>
        <v>2.9162999999999997</v>
      </c>
      <c r="J347" t="s">
        <v>78</v>
      </c>
      <c r="K347">
        <v>8</v>
      </c>
      <c r="L347" t="s">
        <v>107</v>
      </c>
    </row>
    <row r="348" spans="1:12" ht="15" x14ac:dyDescent="0.25">
      <c r="A348" s="5">
        <v>45758</v>
      </c>
      <c r="B348" t="s">
        <v>50</v>
      </c>
      <c r="C348">
        <v>2.75</v>
      </c>
      <c r="D348" s="5">
        <v>48625</v>
      </c>
      <c r="E348">
        <v>8</v>
      </c>
      <c r="F348" t="s">
        <v>76</v>
      </c>
      <c r="G348">
        <v>28000000</v>
      </c>
      <c r="H348">
        <v>0.49</v>
      </c>
      <c r="I348">
        <f t="shared" si="8"/>
        <v>2.9162999999999997</v>
      </c>
      <c r="J348" t="s">
        <v>79</v>
      </c>
      <c r="K348">
        <v>8</v>
      </c>
      <c r="L348" t="s">
        <v>108</v>
      </c>
    </row>
    <row r="349" spans="1:12" ht="15" x14ac:dyDescent="0.25">
      <c r="A349" s="5">
        <v>45758</v>
      </c>
      <c r="B349" t="s">
        <v>50</v>
      </c>
      <c r="C349">
        <v>2.75</v>
      </c>
      <c r="D349" s="5">
        <v>48625</v>
      </c>
      <c r="E349">
        <v>8</v>
      </c>
      <c r="F349" t="s">
        <v>76</v>
      </c>
      <c r="G349">
        <v>28000000</v>
      </c>
      <c r="H349">
        <v>0.71</v>
      </c>
      <c r="I349">
        <f t="shared" si="8"/>
        <v>3.1362999999999999</v>
      </c>
      <c r="J349" t="s">
        <v>80</v>
      </c>
      <c r="K349">
        <v>8</v>
      </c>
      <c r="L349" t="s">
        <v>109</v>
      </c>
    </row>
    <row r="350" spans="1:12" ht="15" x14ac:dyDescent="0.25">
      <c r="A350" s="5">
        <v>45757</v>
      </c>
      <c r="B350" t="s">
        <v>52</v>
      </c>
      <c r="C350">
        <v>2.5499999999999998</v>
      </c>
      <c r="D350" s="5">
        <v>48518</v>
      </c>
      <c r="E350">
        <v>8</v>
      </c>
      <c r="F350" t="s">
        <v>76</v>
      </c>
      <c r="G350">
        <v>25180000000000</v>
      </c>
      <c r="H350">
        <v>0.49</v>
      </c>
      <c r="I350">
        <f t="shared" si="8"/>
        <v>2.9162999999999997</v>
      </c>
      <c r="J350" t="s">
        <v>78</v>
      </c>
      <c r="K350">
        <v>8</v>
      </c>
      <c r="L350" t="s">
        <v>107</v>
      </c>
    </row>
    <row r="351" spans="1:12" ht="15" x14ac:dyDescent="0.25">
      <c r="A351" s="5">
        <v>45757</v>
      </c>
      <c r="B351" t="s">
        <v>52</v>
      </c>
      <c r="C351">
        <v>2.5499999999999998</v>
      </c>
      <c r="D351" s="5">
        <v>48518</v>
      </c>
      <c r="E351">
        <v>8</v>
      </c>
      <c r="F351" t="s">
        <v>76</v>
      </c>
      <c r="G351">
        <v>25180000000000</v>
      </c>
      <c r="H351">
        <v>0.49</v>
      </c>
      <c r="I351">
        <f t="shared" si="8"/>
        <v>2.9162999999999997</v>
      </c>
      <c r="J351" t="s">
        <v>79</v>
      </c>
      <c r="K351">
        <v>8</v>
      </c>
      <c r="L351" t="s">
        <v>108</v>
      </c>
    </row>
    <row r="352" spans="1:12" ht="15" x14ac:dyDescent="0.25">
      <c r="A352" s="5">
        <v>45757</v>
      </c>
      <c r="B352" t="s">
        <v>52</v>
      </c>
      <c r="C352">
        <v>2.5499999999999998</v>
      </c>
      <c r="D352" s="5">
        <v>48518</v>
      </c>
      <c r="E352">
        <v>8</v>
      </c>
      <c r="F352" t="s">
        <v>76</v>
      </c>
      <c r="G352">
        <v>25180000000000</v>
      </c>
      <c r="H352">
        <v>0.71</v>
      </c>
      <c r="I352">
        <f t="shared" si="8"/>
        <v>3.1362999999999999</v>
      </c>
      <c r="J352" t="s">
        <v>80</v>
      </c>
      <c r="K352">
        <v>8</v>
      </c>
      <c r="L352" t="s">
        <v>109</v>
      </c>
    </row>
    <row r="353" spans="1:12" ht="15" x14ac:dyDescent="0.25">
      <c r="A353" s="5">
        <v>45751</v>
      </c>
      <c r="B353" t="s">
        <v>31</v>
      </c>
      <c r="C353">
        <v>3.26</v>
      </c>
      <c r="D353" s="5">
        <v>48680</v>
      </c>
      <c r="E353">
        <v>8</v>
      </c>
      <c r="F353" t="s">
        <v>76</v>
      </c>
      <c r="G353">
        <v>24000000</v>
      </c>
      <c r="H353">
        <v>0.49</v>
      </c>
      <c r="I353">
        <f t="shared" si="8"/>
        <v>2.9162999999999997</v>
      </c>
      <c r="J353" t="s">
        <v>78</v>
      </c>
      <c r="K353">
        <v>8</v>
      </c>
      <c r="L353" t="s">
        <v>107</v>
      </c>
    </row>
    <row r="354" spans="1:12" ht="15" x14ac:dyDescent="0.25">
      <c r="A354" s="5">
        <v>45751</v>
      </c>
      <c r="B354" t="s">
        <v>31</v>
      </c>
      <c r="C354">
        <v>3.26</v>
      </c>
      <c r="D354" s="5">
        <v>48680</v>
      </c>
      <c r="E354">
        <v>8</v>
      </c>
      <c r="F354" t="s">
        <v>76</v>
      </c>
      <c r="G354">
        <v>24000000</v>
      </c>
      <c r="H354">
        <v>0.49</v>
      </c>
      <c r="I354">
        <f t="shared" si="8"/>
        <v>2.9162999999999997</v>
      </c>
      <c r="J354" t="s">
        <v>79</v>
      </c>
      <c r="K354">
        <v>8</v>
      </c>
      <c r="L354" t="s">
        <v>108</v>
      </c>
    </row>
    <row r="355" spans="1:12" ht="15" x14ac:dyDescent="0.25">
      <c r="A355" s="5">
        <v>45751</v>
      </c>
      <c r="B355" t="s">
        <v>31</v>
      </c>
      <c r="C355">
        <v>3.26</v>
      </c>
      <c r="D355" s="5">
        <v>48680</v>
      </c>
      <c r="E355">
        <v>8</v>
      </c>
      <c r="F355" t="s">
        <v>76</v>
      </c>
      <c r="G355">
        <v>24000000</v>
      </c>
      <c r="H355">
        <v>0.71</v>
      </c>
      <c r="I355">
        <f t="shared" si="8"/>
        <v>3.1362999999999999</v>
      </c>
      <c r="J355" t="s">
        <v>80</v>
      </c>
      <c r="K355">
        <v>8</v>
      </c>
      <c r="L355" t="s">
        <v>109</v>
      </c>
    </row>
    <row r="356" spans="1:12" ht="15" x14ac:dyDescent="0.25">
      <c r="A356" s="5">
        <v>45748</v>
      </c>
      <c r="B356" t="s">
        <v>9</v>
      </c>
      <c r="C356">
        <v>3</v>
      </c>
      <c r="D356" s="5">
        <v>48701</v>
      </c>
      <c r="E356">
        <v>8</v>
      </c>
      <c r="F356" t="s">
        <v>76</v>
      </c>
      <c r="G356">
        <v>150000000</v>
      </c>
      <c r="H356">
        <v>0.49</v>
      </c>
      <c r="I356">
        <f t="shared" si="8"/>
        <v>2.9162999999999997</v>
      </c>
      <c r="J356" t="s">
        <v>78</v>
      </c>
      <c r="K356">
        <v>8</v>
      </c>
      <c r="L356" t="s">
        <v>107</v>
      </c>
    </row>
    <row r="357" spans="1:12" ht="15" x14ac:dyDescent="0.25">
      <c r="A357" s="5">
        <v>45748</v>
      </c>
      <c r="B357" t="s">
        <v>9</v>
      </c>
      <c r="C357">
        <v>3</v>
      </c>
      <c r="D357" s="5">
        <v>48701</v>
      </c>
      <c r="E357">
        <v>8</v>
      </c>
      <c r="F357" t="s">
        <v>76</v>
      </c>
      <c r="G357">
        <v>150000000</v>
      </c>
      <c r="H357">
        <v>0.49</v>
      </c>
      <c r="I357">
        <f t="shared" si="8"/>
        <v>2.9162999999999997</v>
      </c>
      <c r="J357" t="s">
        <v>79</v>
      </c>
      <c r="K357">
        <v>8</v>
      </c>
      <c r="L357" t="s">
        <v>108</v>
      </c>
    </row>
    <row r="358" spans="1:12" ht="15" x14ac:dyDescent="0.25">
      <c r="A358" s="5">
        <v>45748</v>
      </c>
      <c r="B358" t="s">
        <v>9</v>
      </c>
      <c r="C358">
        <v>3</v>
      </c>
      <c r="D358" s="5">
        <v>48701</v>
      </c>
      <c r="E358">
        <v>8</v>
      </c>
      <c r="F358" t="s">
        <v>76</v>
      </c>
      <c r="G358">
        <v>150000000</v>
      </c>
      <c r="H358">
        <v>0.71</v>
      </c>
      <c r="I358">
        <f t="shared" si="8"/>
        <v>3.1362999999999999</v>
      </c>
      <c r="J358" t="s">
        <v>80</v>
      </c>
      <c r="K358">
        <v>8</v>
      </c>
      <c r="L358" t="s">
        <v>109</v>
      </c>
    </row>
    <row r="359" spans="1:12" ht="15" x14ac:dyDescent="0.25">
      <c r="A359" s="5">
        <v>45748</v>
      </c>
      <c r="B359" t="s">
        <v>72</v>
      </c>
      <c r="C359">
        <v>3.125</v>
      </c>
      <c r="D359" s="5">
        <v>48680</v>
      </c>
      <c r="E359">
        <v>8</v>
      </c>
      <c r="F359" t="s">
        <v>76</v>
      </c>
      <c r="G359">
        <v>200000000</v>
      </c>
      <c r="H359">
        <v>0.49</v>
      </c>
      <c r="I359">
        <f t="shared" si="8"/>
        <v>2.9162999999999997</v>
      </c>
      <c r="J359" t="s">
        <v>78</v>
      </c>
      <c r="K359">
        <v>8</v>
      </c>
      <c r="L359" t="s">
        <v>107</v>
      </c>
    </row>
    <row r="360" spans="1:12" ht="15" x14ac:dyDescent="0.25">
      <c r="A360" s="5">
        <v>45748</v>
      </c>
      <c r="B360" t="s">
        <v>72</v>
      </c>
      <c r="C360">
        <v>3.125</v>
      </c>
      <c r="D360" s="5">
        <v>48680</v>
      </c>
      <c r="E360">
        <v>8</v>
      </c>
      <c r="F360" t="s">
        <v>76</v>
      </c>
      <c r="G360">
        <v>200000000</v>
      </c>
      <c r="H360">
        <v>0.49</v>
      </c>
      <c r="I360">
        <f t="shared" si="8"/>
        <v>2.9162999999999997</v>
      </c>
      <c r="J360" t="s">
        <v>79</v>
      </c>
      <c r="K360">
        <v>8</v>
      </c>
      <c r="L360" t="s">
        <v>108</v>
      </c>
    </row>
    <row r="361" spans="1:12" ht="15" x14ac:dyDescent="0.25">
      <c r="A361" s="5">
        <v>45748</v>
      </c>
      <c r="B361" t="s">
        <v>72</v>
      </c>
      <c r="C361">
        <v>3.125</v>
      </c>
      <c r="D361" s="5">
        <v>48680</v>
      </c>
      <c r="E361">
        <v>8</v>
      </c>
      <c r="F361" t="s">
        <v>76</v>
      </c>
      <c r="G361">
        <v>200000000</v>
      </c>
      <c r="H361">
        <v>0.71</v>
      </c>
      <c r="I361">
        <f t="shared" si="8"/>
        <v>3.1362999999999999</v>
      </c>
      <c r="J361" t="s">
        <v>80</v>
      </c>
      <c r="K361">
        <v>8</v>
      </c>
      <c r="L361" t="s">
        <v>109</v>
      </c>
    </row>
    <row r="362" spans="1:12" ht="15" x14ac:dyDescent="0.25">
      <c r="A362" s="5">
        <v>45775</v>
      </c>
      <c r="B362" t="s">
        <v>26</v>
      </c>
      <c r="C362">
        <v>2.85</v>
      </c>
      <c r="D362" s="5">
        <v>49239</v>
      </c>
      <c r="E362">
        <v>9</v>
      </c>
      <c r="F362" t="s">
        <v>76</v>
      </c>
      <c r="G362">
        <v>17870000000000</v>
      </c>
      <c r="H362">
        <v>0.52</v>
      </c>
      <c r="I362">
        <f>H362+2.4604</f>
        <v>2.9803999999999999</v>
      </c>
      <c r="J362" t="s">
        <v>104</v>
      </c>
      <c r="K362">
        <v>9</v>
      </c>
      <c r="L362" t="s">
        <v>107</v>
      </c>
    </row>
    <row r="363" spans="1:12" ht="15" x14ac:dyDescent="0.25">
      <c r="A363" s="5">
        <v>45775</v>
      </c>
      <c r="B363" t="s">
        <v>26</v>
      </c>
      <c r="C363">
        <v>2.85</v>
      </c>
      <c r="D363" s="5">
        <v>49239</v>
      </c>
      <c r="E363">
        <v>9</v>
      </c>
      <c r="F363" t="s">
        <v>76</v>
      </c>
      <c r="G363">
        <v>17870000000000</v>
      </c>
      <c r="H363">
        <v>0.52</v>
      </c>
      <c r="I363">
        <f t="shared" ref="I363:I397" si="9">H363+2.4604</f>
        <v>2.9803999999999999</v>
      </c>
      <c r="J363" t="s">
        <v>105</v>
      </c>
      <c r="K363">
        <v>9</v>
      </c>
      <c r="L363" t="s">
        <v>108</v>
      </c>
    </row>
    <row r="364" spans="1:12" ht="15" x14ac:dyDescent="0.25">
      <c r="A364" s="5">
        <v>45775</v>
      </c>
      <c r="B364" t="s">
        <v>26</v>
      </c>
      <c r="C364">
        <v>2.85</v>
      </c>
      <c r="D364" s="5">
        <v>49239</v>
      </c>
      <c r="E364">
        <v>9</v>
      </c>
      <c r="F364" t="s">
        <v>76</v>
      </c>
      <c r="G364">
        <v>17870000000000</v>
      </c>
      <c r="H364">
        <v>0.72</v>
      </c>
      <c r="I364">
        <f t="shared" si="9"/>
        <v>3.1803999999999997</v>
      </c>
      <c r="J364" t="s">
        <v>106</v>
      </c>
      <c r="K364">
        <v>9</v>
      </c>
      <c r="L364" t="s">
        <v>109</v>
      </c>
    </row>
    <row r="365" spans="1:12" ht="15" x14ac:dyDescent="0.25">
      <c r="A365" s="5">
        <v>45770</v>
      </c>
      <c r="B365" t="s">
        <v>33</v>
      </c>
      <c r="C365">
        <v>4.25</v>
      </c>
      <c r="D365" s="5">
        <v>49063</v>
      </c>
      <c r="E365">
        <v>9</v>
      </c>
      <c r="F365" t="s">
        <v>76</v>
      </c>
      <c r="G365">
        <v>10000000</v>
      </c>
      <c r="H365">
        <v>0.52</v>
      </c>
      <c r="I365">
        <f t="shared" si="9"/>
        <v>2.9803999999999999</v>
      </c>
      <c r="J365" t="s">
        <v>104</v>
      </c>
      <c r="K365">
        <v>9</v>
      </c>
      <c r="L365" t="s">
        <v>107</v>
      </c>
    </row>
    <row r="366" spans="1:12" ht="15" x14ac:dyDescent="0.25">
      <c r="A366" s="5">
        <v>45770</v>
      </c>
      <c r="B366" t="s">
        <v>33</v>
      </c>
      <c r="C366">
        <v>4.25</v>
      </c>
      <c r="D366" s="5">
        <v>49063</v>
      </c>
      <c r="E366">
        <v>9</v>
      </c>
      <c r="F366" t="s">
        <v>76</v>
      </c>
      <c r="G366">
        <v>10000000</v>
      </c>
      <c r="H366">
        <v>0.52</v>
      </c>
      <c r="I366">
        <f t="shared" si="9"/>
        <v>2.9803999999999999</v>
      </c>
      <c r="J366" t="s">
        <v>105</v>
      </c>
      <c r="K366">
        <v>9</v>
      </c>
      <c r="L366" t="s">
        <v>108</v>
      </c>
    </row>
    <row r="367" spans="1:12" ht="15" x14ac:dyDescent="0.25">
      <c r="A367" s="5">
        <v>45770</v>
      </c>
      <c r="B367" t="s">
        <v>33</v>
      </c>
      <c r="C367">
        <v>4.25</v>
      </c>
      <c r="D367" s="5">
        <v>49063</v>
      </c>
      <c r="E367">
        <v>9</v>
      </c>
      <c r="F367" t="s">
        <v>76</v>
      </c>
      <c r="G367">
        <v>10000000</v>
      </c>
      <c r="H367">
        <v>0.72</v>
      </c>
      <c r="I367">
        <f t="shared" si="9"/>
        <v>3.1803999999999997</v>
      </c>
      <c r="J367" t="s">
        <v>106</v>
      </c>
      <c r="K367">
        <v>9</v>
      </c>
      <c r="L367" t="s">
        <v>109</v>
      </c>
    </row>
    <row r="368" spans="1:12" ht="15" x14ac:dyDescent="0.25">
      <c r="A368" s="5">
        <v>45769</v>
      </c>
      <c r="B368" t="s">
        <v>35</v>
      </c>
      <c r="C368">
        <v>3.75</v>
      </c>
      <c r="D368" s="5">
        <v>49009</v>
      </c>
      <c r="E368">
        <v>9</v>
      </c>
      <c r="F368" t="s">
        <v>76</v>
      </c>
      <c r="G368">
        <v>5000000000000</v>
      </c>
      <c r="H368">
        <v>0.52</v>
      </c>
      <c r="I368">
        <f t="shared" si="9"/>
        <v>2.9803999999999999</v>
      </c>
      <c r="J368" t="s">
        <v>104</v>
      </c>
      <c r="K368">
        <v>9</v>
      </c>
      <c r="L368" t="s">
        <v>107</v>
      </c>
    </row>
    <row r="369" spans="1:12" ht="15" x14ac:dyDescent="0.25">
      <c r="A369" s="5">
        <v>45769</v>
      </c>
      <c r="B369" t="s">
        <v>35</v>
      </c>
      <c r="C369">
        <v>3.75</v>
      </c>
      <c r="D369" s="5">
        <v>49009</v>
      </c>
      <c r="E369">
        <v>9</v>
      </c>
      <c r="F369" t="s">
        <v>76</v>
      </c>
      <c r="G369">
        <v>5000000000000</v>
      </c>
      <c r="H369">
        <v>0.52</v>
      </c>
      <c r="I369">
        <f t="shared" si="9"/>
        <v>2.9803999999999999</v>
      </c>
      <c r="J369" t="s">
        <v>105</v>
      </c>
      <c r="K369">
        <v>9</v>
      </c>
      <c r="L369" t="s">
        <v>108</v>
      </c>
    </row>
    <row r="370" spans="1:12" ht="15" x14ac:dyDescent="0.25">
      <c r="A370" s="5">
        <v>45769</v>
      </c>
      <c r="B370" t="s">
        <v>35</v>
      </c>
      <c r="C370">
        <v>3.75</v>
      </c>
      <c r="D370" s="5">
        <v>49009</v>
      </c>
      <c r="E370">
        <v>9</v>
      </c>
      <c r="F370" t="s">
        <v>76</v>
      </c>
      <c r="G370">
        <v>5000000000000</v>
      </c>
      <c r="H370">
        <v>0.72</v>
      </c>
      <c r="I370">
        <f t="shared" si="9"/>
        <v>3.1803999999999997</v>
      </c>
      <c r="J370" t="s">
        <v>106</v>
      </c>
      <c r="K370">
        <v>9</v>
      </c>
      <c r="L370" t="s">
        <v>109</v>
      </c>
    </row>
    <row r="371" spans="1:12" ht="15" x14ac:dyDescent="0.25">
      <c r="A371" s="5">
        <v>45764</v>
      </c>
      <c r="B371" t="s">
        <v>9</v>
      </c>
      <c r="C371">
        <v>3.43</v>
      </c>
      <c r="D371" s="5">
        <v>49062</v>
      </c>
      <c r="E371">
        <v>9</v>
      </c>
      <c r="F371" t="s">
        <v>76</v>
      </c>
      <c r="G371">
        <v>100000000</v>
      </c>
      <c r="H371">
        <v>0.52</v>
      </c>
      <c r="I371">
        <f t="shared" si="9"/>
        <v>2.9803999999999999</v>
      </c>
      <c r="J371" t="s">
        <v>104</v>
      </c>
      <c r="K371">
        <v>9</v>
      </c>
      <c r="L371" t="s">
        <v>107</v>
      </c>
    </row>
    <row r="372" spans="1:12" ht="15" x14ac:dyDescent="0.25">
      <c r="A372" s="5">
        <v>45764</v>
      </c>
      <c r="B372" t="s">
        <v>9</v>
      </c>
      <c r="C372">
        <v>3.43</v>
      </c>
      <c r="D372" s="5">
        <v>49062</v>
      </c>
      <c r="E372">
        <v>9</v>
      </c>
      <c r="F372" t="s">
        <v>76</v>
      </c>
      <c r="G372">
        <v>100000000</v>
      </c>
      <c r="H372">
        <v>0.52</v>
      </c>
      <c r="I372">
        <f t="shared" si="9"/>
        <v>2.9803999999999999</v>
      </c>
      <c r="J372" t="s">
        <v>105</v>
      </c>
      <c r="K372">
        <v>9</v>
      </c>
      <c r="L372" t="s">
        <v>108</v>
      </c>
    </row>
    <row r="373" spans="1:12" ht="15" x14ac:dyDescent="0.25">
      <c r="A373" s="5">
        <v>45764</v>
      </c>
      <c r="B373" t="s">
        <v>9</v>
      </c>
      <c r="C373">
        <v>3.43</v>
      </c>
      <c r="D373" s="5">
        <v>49062</v>
      </c>
      <c r="E373">
        <v>9</v>
      </c>
      <c r="F373" t="s">
        <v>76</v>
      </c>
      <c r="G373">
        <v>100000000</v>
      </c>
      <c r="H373">
        <v>0.72</v>
      </c>
      <c r="I373">
        <f t="shared" si="9"/>
        <v>3.1803999999999997</v>
      </c>
      <c r="J373" t="s">
        <v>106</v>
      </c>
      <c r="K373">
        <v>9</v>
      </c>
      <c r="L373" t="s">
        <v>109</v>
      </c>
    </row>
    <row r="374" spans="1:12" ht="15" x14ac:dyDescent="0.25">
      <c r="A374" s="5">
        <v>45764</v>
      </c>
      <c r="B374" t="s">
        <v>39</v>
      </c>
      <c r="C374">
        <v>0.6</v>
      </c>
      <c r="D374" s="5">
        <v>49150</v>
      </c>
      <c r="E374">
        <v>9</v>
      </c>
      <c r="F374" t="s">
        <v>76</v>
      </c>
      <c r="G374">
        <v>8540000000000</v>
      </c>
      <c r="H374">
        <v>0.52</v>
      </c>
      <c r="I374">
        <f t="shared" si="9"/>
        <v>2.9803999999999999</v>
      </c>
      <c r="J374" t="s">
        <v>104</v>
      </c>
      <c r="K374">
        <v>9</v>
      </c>
      <c r="L374" t="s">
        <v>107</v>
      </c>
    </row>
    <row r="375" spans="1:12" ht="15" x14ac:dyDescent="0.25">
      <c r="A375" s="5">
        <v>45764</v>
      </c>
      <c r="B375" t="s">
        <v>39</v>
      </c>
      <c r="C375">
        <v>0.6</v>
      </c>
      <c r="D375" s="5">
        <v>49150</v>
      </c>
      <c r="E375">
        <v>9</v>
      </c>
      <c r="F375" t="s">
        <v>76</v>
      </c>
      <c r="G375">
        <v>8540000000000</v>
      </c>
      <c r="H375">
        <v>0.52</v>
      </c>
      <c r="I375">
        <f t="shared" si="9"/>
        <v>2.9803999999999999</v>
      </c>
      <c r="J375" t="s">
        <v>105</v>
      </c>
      <c r="K375">
        <v>9</v>
      </c>
      <c r="L375" t="s">
        <v>108</v>
      </c>
    </row>
    <row r="376" spans="1:12" ht="15" x14ac:dyDescent="0.25">
      <c r="A376" s="5">
        <v>45764</v>
      </c>
      <c r="B376" t="s">
        <v>39</v>
      </c>
      <c r="C376">
        <v>0.6</v>
      </c>
      <c r="D376" s="5">
        <v>49150</v>
      </c>
      <c r="E376">
        <v>9</v>
      </c>
      <c r="F376" t="s">
        <v>76</v>
      </c>
      <c r="G376">
        <v>8540000000000</v>
      </c>
      <c r="H376">
        <v>0.72</v>
      </c>
      <c r="I376">
        <f t="shared" si="9"/>
        <v>3.1803999999999997</v>
      </c>
      <c r="J376" t="s">
        <v>106</v>
      </c>
      <c r="K376">
        <v>9</v>
      </c>
      <c r="L376" t="s">
        <v>109</v>
      </c>
    </row>
    <row r="377" spans="1:12" ht="15" x14ac:dyDescent="0.25">
      <c r="A377" s="5">
        <v>45764</v>
      </c>
      <c r="B377" t="s">
        <v>31</v>
      </c>
      <c r="C377">
        <v>3.35</v>
      </c>
      <c r="D377" s="5">
        <v>49059</v>
      </c>
      <c r="E377">
        <v>9</v>
      </c>
      <c r="F377" t="s">
        <v>76</v>
      </c>
      <c r="G377">
        <v>24000000</v>
      </c>
      <c r="H377">
        <v>0.52</v>
      </c>
      <c r="I377">
        <f t="shared" si="9"/>
        <v>2.9803999999999999</v>
      </c>
      <c r="J377" t="s">
        <v>104</v>
      </c>
      <c r="K377">
        <v>9</v>
      </c>
      <c r="L377" t="s">
        <v>107</v>
      </c>
    </row>
    <row r="378" spans="1:12" ht="15" x14ac:dyDescent="0.25">
      <c r="A378" s="5">
        <v>45764</v>
      </c>
      <c r="B378" t="s">
        <v>31</v>
      </c>
      <c r="C378">
        <v>3.35</v>
      </c>
      <c r="D378" s="5">
        <v>49059</v>
      </c>
      <c r="E378">
        <v>9</v>
      </c>
      <c r="F378" t="s">
        <v>76</v>
      </c>
      <c r="G378">
        <v>24000000</v>
      </c>
      <c r="H378">
        <v>0.52</v>
      </c>
      <c r="I378">
        <f t="shared" si="9"/>
        <v>2.9803999999999999</v>
      </c>
      <c r="J378" t="s">
        <v>105</v>
      </c>
      <c r="K378">
        <v>9</v>
      </c>
      <c r="L378" t="s">
        <v>108</v>
      </c>
    </row>
    <row r="379" spans="1:12" ht="15" x14ac:dyDescent="0.25">
      <c r="A379" s="5">
        <v>45764</v>
      </c>
      <c r="B379" t="s">
        <v>31</v>
      </c>
      <c r="C379">
        <v>3.35</v>
      </c>
      <c r="D379" s="5">
        <v>49059</v>
      </c>
      <c r="E379">
        <v>9</v>
      </c>
      <c r="F379" t="s">
        <v>76</v>
      </c>
      <c r="G379">
        <v>24000000</v>
      </c>
      <c r="H379">
        <v>0.72</v>
      </c>
      <c r="I379">
        <f t="shared" si="9"/>
        <v>3.1803999999999997</v>
      </c>
      <c r="J379" t="s">
        <v>106</v>
      </c>
      <c r="K379">
        <v>9</v>
      </c>
      <c r="L379" t="s">
        <v>109</v>
      </c>
    </row>
    <row r="380" spans="1:12" ht="15" x14ac:dyDescent="0.25">
      <c r="A380" s="5">
        <v>45762</v>
      </c>
      <c r="B380" t="s">
        <v>9</v>
      </c>
      <c r="C380">
        <v>3.43</v>
      </c>
      <c r="D380" s="5">
        <v>49058</v>
      </c>
      <c r="E380">
        <v>9</v>
      </c>
      <c r="F380" t="s">
        <v>76</v>
      </c>
      <c r="G380">
        <v>100000000</v>
      </c>
      <c r="H380">
        <v>0.52</v>
      </c>
      <c r="I380">
        <f t="shared" si="9"/>
        <v>2.9803999999999999</v>
      </c>
      <c r="J380" t="s">
        <v>104</v>
      </c>
      <c r="K380">
        <v>9</v>
      </c>
      <c r="L380" t="s">
        <v>107</v>
      </c>
    </row>
    <row r="381" spans="1:12" ht="15" x14ac:dyDescent="0.25">
      <c r="A381" s="5">
        <v>45762</v>
      </c>
      <c r="B381" t="s">
        <v>9</v>
      </c>
      <c r="C381">
        <v>3.43</v>
      </c>
      <c r="D381" s="5">
        <v>49058</v>
      </c>
      <c r="E381">
        <v>9</v>
      </c>
      <c r="F381" t="s">
        <v>76</v>
      </c>
      <c r="G381">
        <v>100000000</v>
      </c>
      <c r="H381">
        <v>0.52</v>
      </c>
      <c r="I381">
        <f t="shared" si="9"/>
        <v>2.9803999999999999</v>
      </c>
      <c r="J381" t="s">
        <v>105</v>
      </c>
      <c r="K381">
        <v>9</v>
      </c>
      <c r="L381" t="s">
        <v>108</v>
      </c>
    </row>
    <row r="382" spans="1:12" ht="15" x14ac:dyDescent="0.25">
      <c r="A382" s="5">
        <v>45762</v>
      </c>
      <c r="B382" t="s">
        <v>9</v>
      </c>
      <c r="C382">
        <v>3.43</v>
      </c>
      <c r="D382" s="5">
        <v>49058</v>
      </c>
      <c r="E382">
        <v>9</v>
      </c>
      <c r="F382" t="s">
        <v>76</v>
      </c>
      <c r="G382">
        <v>100000000</v>
      </c>
      <c r="H382">
        <v>0.72</v>
      </c>
      <c r="I382">
        <f t="shared" si="9"/>
        <v>3.1803999999999997</v>
      </c>
      <c r="J382" t="s">
        <v>106</v>
      </c>
      <c r="K382">
        <v>9</v>
      </c>
      <c r="L382" t="s">
        <v>109</v>
      </c>
    </row>
    <row r="383" spans="1:12" ht="15" x14ac:dyDescent="0.25">
      <c r="A383" s="5">
        <v>45761</v>
      </c>
      <c r="B383" t="s">
        <v>9</v>
      </c>
      <c r="C383">
        <v>3.22</v>
      </c>
      <c r="D383" s="5">
        <v>49058</v>
      </c>
      <c r="E383">
        <v>9</v>
      </c>
      <c r="F383" t="s">
        <v>76</v>
      </c>
      <c r="G383">
        <v>100000000</v>
      </c>
      <c r="H383">
        <v>0.52</v>
      </c>
      <c r="I383">
        <f t="shared" si="9"/>
        <v>2.9803999999999999</v>
      </c>
      <c r="J383" t="s">
        <v>104</v>
      </c>
      <c r="K383">
        <v>9</v>
      </c>
      <c r="L383" t="s">
        <v>107</v>
      </c>
    </row>
    <row r="384" spans="1:12" ht="15" x14ac:dyDescent="0.25">
      <c r="A384" s="5">
        <v>45761</v>
      </c>
      <c r="B384" t="s">
        <v>9</v>
      </c>
      <c r="C384">
        <v>3.22</v>
      </c>
      <c r="D384" s="5">
        <v>49058</v>
      </c>
      <c r="E384">
        <v>9</v>
      </c>
      <c r="F384" t="s">
        <v>76</v>
      </c>
      <c r="G384">
        <v>100000000</v>
      </c>
      <c r="H384">
        <v>0.52</v>
      </c>
      <c r="I384">
        <f t="shared" si="9"/>
        <v>2.9803999999999999</v>
      </c>
      <c r="J384" t="s">
        <v>105</v>
      </c>
      <c r="K384">
        <v>9</v>
      </c>
      <c r="L384" t="s">
        <v>108</v>
      </c>
    </row>
    <row r="385" spans="1:12" ht="15" x14ac:dyDescent="0.25">
      <c r="A385" s="5">
        <v>45761</v>
      </c>
      <c r="B385" t="s">
        <v>9</v>
      </c>
      <c r="C385">
        <v>3.22</v>
      </c>
      <c r="D385" s="5">
        <v>49058</v>
      </c>
      <c r="E385">
        <v>9</v>
      </c>
      <c r="F385" t="s">
        <v>76</v>
      </c>
      <c r="G385">
        <v>100000000</v>
      </c>
      <c r="H385">
        <v>0.72</v>
      </c>
      <c r="I385">
        <f t="shared" si="9"/>
        <v>3.1803999999999997</v>
      </c>
      <c r="J385" t="s">
        <v>106</v>
      </c>
      <c r="K385">
        <v>9</v>
      </c>
      <c r="L385" t="s">
        <v>109</v>
      </c>
    </row>
    <row r="386" spans="1:12" ht="15" x14ac:dyDescent="0.25">
      <c r="A386" s="5">
        <v>45761</v>
      </c>
      <c r="B386" t="s">
        <v>31</v>
      </c>
      <c r="C386">
        <v>3.53</v>
      </c>
      <c r="D386" s="5">
        <v>49058</v>
      </c>
      <c r="E386">
        <v>9</v>
      </c>
      <c r="F386" t="s">
        <v>76</v>
      </c>
      <c r="G386">
        <v>24000000</v>
      </c>
      <c r="H386">
        <v>0.52</v>
      </c>
      <c r="I386">
        <f t="shared" si="9"/>
        <v>2.9803999999999999</v>
      </c>
      <c r="J386" t="s">
        <v>104</v>
      </c>
      <c r="K386">
        <v>9</v>
      </c>
      <c r="L386" t="s">
        <v>107</v>
      </c>
    </row>
    <row r="387" spans="1:12" ht="15" x14ac:dyDescent="0.25">
      <c r="A387" s="5">
        <v>45761</v>
      </c>
      <c r="B387" t="s">
        <v>31</v>
      </c>
      <c r="C387">
        <v>3.53</v>
      </c>
      <c r="D387" s="5">
        <v>49058</v>
      </c>
      <c r="E387">
        <v>9</v>
      </c>
      <c r="F387" t="s">
        <v>76</v>
      </c>
      <c r="G387">
        <v>24000000</v>
      </c>
      <c r="H387">
        <v>0.52</v>
      </c>
      <c r="I387">
        <f t="shared" si="9"/>
        <v>2.9803999999999999</v>
      </c>
      <c r="J387" t="s">
        <v>105</v>
      </c>
      <c r="K387">
        <v>9</v>
      </c>
      <c r="L387" t="s">
        <v>108</v>
      </c>
    </row>
    <row r="388" spans="1:12" ht="15" x14ac:dyDescent="0.25">
      <c r="A388" s="5">
        <v>45761</v>
      </c>
      <c r="B388" t="s">
        <v>31</v>
      </c>
      <c r="C388">
        <v>3.53</v>
      </c>
      <c r="D388" s="5">
        <v>49058</v>
      </c>
      <c r="E388">
        <v>9</v>
      </c>
      <c r="F388" t="s">
        <v>76</v>
      </c>
      <c r="G388">
        <v>24000000</v>
      </c>
      <c r="H388">
        <v>0.72</v>
      </c>
      <c r="I388">
        <f t="shared" si="9"/>
        <v>3.1803999999999997</v>
      </c>
      <c r="J388" t="s">
        <v>106</v>
      </c>
      <c r="K388">
        <v>9</v>
      </c>
      <c r="L388" t="s">
        <v>109</v>
      </c>
    </row>
    <row r="389" spans="1:12" ht="15" x14ac:dyDescent="0.25">
      <c r="A389" s="5">
        <v>45761</v>
      </c>
      <c r="B389" t="s">
        <v>9</v>
      </c>
      <c r="C389">
        <v>3</v>
      </c>
      <c r="D389" s="5">
        <v>48913</v>
      </c>
      <c r="E389">
        <v>9</v>
      </c>
      <c r="F389" t="s">
        <v>76</v>
      </c>
      <c r="G389">
        <v>150000000</v>
      </c>
      <c r="H389">
        <v>0.52</v>
      </c>
      <c r="I389">
        <f t="shared" si="9"/>
        <v>2.9803999999999999</v>
      </c>
      <c r="J389" t="s">
        <v>104</v>
      </c>
      <c r="K389">
        <v>9</v>
      </c>
      <c r="L389" t="s">
        <v>107</v>
      </c>
    </row>
    <row r="390" spans="1:12" ht="15" x14ac:dyDescent="0.25">
      <c r="A390" s="5">
        <v>45761</v>
      </c>
      <c r="B390" t="s">
        <v>9</v>
      </c>
      <c r="C390">
        <v>3</v>
      </c>
      <c r="D390" s="5">
        <v>48913</v>
      </c>
      <c r="E390">
        <v>9</v>
      </c>
      <c r="F390" t="s">
        <v>76</v>
      </c>
      <c r="G390">
        <v>150000000</v>
      </c>
      <c r="H390">
        <v>0.52</v>
      </c>
      <c r="I390">
        <f t="shared" si="9"/>
        <v>2.9803999999999999</v>
      </c>
      <c r="J390" t="s">
        <v>105</v>
      </c>
      <c r="K390">
        <v>9</v>
      </c>
      <c r="L390" t="s">
        <v>108</v>
      </c>
    </row>
    <row r="391" spans="1:12" ht="15" x14ac:dyDescent="0.25">
      <c r="A391" s="5">
        <v>45761</v>
      </c>
      <c r="B391" t="s">
        <v>9</v>
      </c>
      <c r="C391">
        <v>3</v>
      </c>
      <c r="D391" s="5">
        <v>48913</v>
      </c>
      <c r="E391">
        <v>9</v>
      </c>
      <c r="F391" t="s">
        <v>76</v>
      </c>
      <c r="G391">
        <v>150000000</v>
      </c>
      <c r="H391">
        <v>0.72</v>
      </c>
      <c r="I391">
        <f t="shared" si="9"/>
        <v>3.1803999999999997</v>
      </c>
      <c r="J391" t="s">
        <v>106</v>
      </c>
      <c r="K391">
        <v>9</v>
      </c>
      <c r="L391" t="s">
        <v>109</v>
      </c>
    </row>
    <row r="392" spans="1:12" ht="15" x14ac:dyDescent="0.25">
      <c r="A392" s="5">
        <v>45755</v>
      </c>
      <c r="B392" t="s">
        <v>9</v>
      </c>
      <c r="C392">
        <v>3</v>
      </c>
      <c r="D392" s="5">
        <v>49079</v>
      </c>
      <c r="E392">
        <v>9</v>
      </c>
      <c r="F392" t="s">
        <v>76</v>
      </c>
      <c r="G392">
        <v>100000000</v>
      </c>
      <c r="H392">
        <v>0.52</v>
      </c>
      <c r="I392">
        <f t="shared" si="9"/>
        <v>2.9803999999999999</v>
      </c>
      <c r="J392" t="s">
        <v>104</v>
      </c>
      <c r="K392">
        <v>9</v>
      </c>
      <c r="L392" t="s">
        <v>107</v>
      </c>
    </row>
    <row r="393" spans="1:12" ht="15" x14ac:dyDescent="0.25">
      <c r="A393" s="5">
        <v>45755</v>
      </c>
      <c r="B393" t="s">
        <v>9</v>
      </c>
      <c r="C393">
        <v>3</v>
      </c>
      <c r="D393" s="5">
        <v>49079</v>
      </c>
      <c r="E393">
        <v>9</v>
      </c>
      <c r="F393" t="s">
        <v>76</v>
      </c>
      <c r="G393">
        <v>100000000</v>
      </c>
      <c r="H393">
        <v>0.52</v>
      </c>
      <c r="I393">
        <f t="shared" si="9"/>
        <v>2.9803999999999999</v>
      </c>
      <c r="J393" t="s">
        <v>105</v>
      </c>
      <c r="K393">
        <v>9</v>
      </c>
      <c r="L393" t="s">
        <v>108</v>
      </c>
    </row>
    <row r="394" spans="1:12" ht="15" x14ac:dyDescent="0.25">
      <c r="A394" s="5">
        <v>45755</v>
      </c>
      <c r="B394" t="s">
        <v>9</v>
      </c>
      <c r="C394">
        <v>3</v>
      </c>
      <c r="D394" s="5">
        <v>49079</v>
      </c>
      <c r="E394">
        <v>9</v>
      </c>
      <c r="F394" t="s">
        <v>76</v>
      </c>
      <c r="G394">
        <v>100000000</v>
      </c>
      <c r="H394">
        <v>0.72</v>
      </c>
      <c r="I394">
        <f t="shared" si="9"/>
        <v>3.1803999999999997</v>
      </c>
      <c r="J394" t="s">
        <v>106</v>
      </c>
      <c r="K394">
        <v>9</v>
      </c>
      <c r="L394" t="s">
        <v>109</v>
      </c>
    </row>
    <row r="395" spans="1:12" ht="15" x14ac:dyDescent="0.25">
      <c r="A395" s="5">
        <v>45750</v>
      </c>
      <c r="B395" t="s">
        <v>40</v>
      </c>
      <c r="C395">
        <v>3.5</v>
      </c>
      <c r="D395" s="5">
        <v>48908</v>
      </c>
      <c r="E395">
        <v>9</v>
      </c>
      <c r="F395" t="s">
        <v>76</v>
      </c>
      <c r="G395">
        <v>50480000000000</v>
      </c>
      <c r="H395">
        <v>0.52</v>
      </c>
      <c r="I395">
        <f t="shared" si="9"/>
        <v>2.9803999999999999</v>
      </c>
      <c r="J395" t="s">
        <v>104</v>
      </c>
      <c r="K395">
        <v>9</v>
      </c>
      <c r="L395" t="s">
        <v>107</v>
      </c>
    </row>
    <row r="396" spans="1:12" ht="15" x14ac:dyDescent="0.25">
      <c r="A396" s="5">
        <v>45750</v>
      </c>
      <c r="B396" t="s">
        <v>40</v>
      </c>
      <c r="C396">
        <v>3.5</v>
      </c>
      <c r="D396" s="5">
        <v>48908</v>
      </c>
      <c r="E396">
        <v>9</v>
      </c>
      <c r="F396" t="s">
        <v>76</v>
      </c>
      <c r="G396">
        <v>50480000000000</v>
      </c>
      <c r="H396">
        <v>0.52</v>
      </c>
      <c r="I396">
        <f t="shared" si="9"/>
        <v>2.9803999999999999</v>
      </c>
      <c r="J396" t="s">
        <v>105</v>
      </c>
      <c r="K396">
        <v>9</v>
      </c>
      <c r="L396" t="s">
        <v>108</v>
      </c>
    </row>
    <row r="397" spans="1:12" ht="15" x14ac:dyDescent="0.25">
      <c r="A397" s="5">
        <v>45750</v>
      </c>
      <c r="B397" t="s">
        <v>40</v>
      </c>
      <c r="C397">
        <v>3.5</v>
      </c>
      <c r="D397" s="5">
        <v>48908</v>
      </c>
      <c r="E397">
        <v>9</v>
      </c>
      <c r="F397" t="s">
        <v>76</v>
      </c>
      <c r="G397">
        <v>50480000000000</v>
      </c>
      <c r="H397">
        <v>0.72</v>
      </c>
      <c r="I397">
        <f t="shared" si="9"/>
        <v>3.1803999999999997</v>
      </c>
      <c r="J397" t="s">
        <v>106</v>
      </c>
      <c r="K397">
        <v>9</v>
      </c>
      <c r="L397" t="s">
        <v>109</v>
      </c>
    </row>
    <row r="398" spans="1:12" ht="15" x14ac:dyDescent="0.25">
      <c r="A398" s="5">
        <v>45776</v>
      </c>
      <c r="B398" t="s">
        <v>16</v>
      </c>
      <c r="C398">
        <v>4.75</v>
      </c>
      <c r="D398" s="5">
        <v>49436</v>
      </c>
      <c r="E398">
        <v>10</v>
      </c>
      <c r="F398" t="s">
        <v>76</v>
      </c>
      <c r="G398">
        <v>300000000</v>
      </c>
      <c r="H398">
        <v>0.55000000000000004</v>
      </c>
      <c r="I398">
        <f>H398+2.5898</f>
        <v>3.1398000000000001</v>
      </c>
      <c r="J398" t="s">
        <v>95</v>
      </c>
      <c r="K398">
        <v>10</v>
      </c>
      <c r="L398" t="s">
        <v>107</v>
      </c>
    </row>
    <row r="399" spans="1:12" ht="15" x14ac:dyDescent="0.25">
      <c r="A399" s="5">
        <v>45776</v>
      </c>
      <c r="B399" t="s">
        <v>16</v>
      </c>
      <c r="C399">
        <v>4.75</v>
      </c>
      <c r="D399" s="5">
        <v>49436</v>
      </c>
      <c r="E399">
        <v>10</v>
      </c>
      <c r="F399" t="s">
        <v>76</v>
      </c>
      <c r="G399">
        <v>300000000</v>
      </c>
      <c r="H399">
        <v>0.55000000000000004</v>
      </c>
      <c r="I399">
        <f t="shared" ref="I399:I462" si="10">H399+2.5898</f>
        <v>3.1398000000000001</v>
      </c>
      <c r="J399" t="s">
        <v>96</v>
      </c>
      <c r="K399">
        <v>10</v>
      </c>
      <c r="L399" t="s">
        <v>108</v>
      </c>
    </row>
    <row r="400" spans="1:12" ht="15" x14ac:dyDescent="0.25">
      <c r="A400" s="5">
        <v>45776</v>
      </c>
      <c r="B400" t="s">
        <v>16</v>
      </c>
      <c r="C400">
        <v>4.75</v>
      </c>
      <c r="D400" s="5">
        <v>49436</v>
      </c>
      <c r="E400">
        <v>10</v>
      </c>
      <c r="F400" t="s">
        <v>76</v>
      </c>
      <c r="G400">
        <v>300000000</v>
      </c>
      <c r="H400">
        <v>0.72</v>
      </c>
      <c r="I400">
        <f t="shared" si="10"/>
        <v>3.3098000000000001</v>
      </c>
      <c r="J400" t="s">
        <v>97</v>
      </c>
      <c r="K400">
        <v>10</v>
      </c>
      <c r="L400" t="s">
        <v>109</v>
      </c>
    </row>
    <row r="401" spans="1:12" ht="15" x14ac:dyDescent="0.25">
      <c r="A401" s="5">
        <v>45776</v>
      </c>
      <c r="B401" t="s">
        <v>20</v>
      </c>
      <c r="C401">
        <v>2.875</v>
      </c>
      <c r="D401" s="5">
        <v>49436</v>
      </c>
      <c r="E401">
        <v>10</v>
      </c>
      <c r="F401" t="s">
        <v>76</v>
      </c>
      <c r="G401">
        <v>500000000</v>
      </c>
      <c r="H401">
        <v>0.55000000000000004</v>
      </c>
      <c r="I401">
        <f t="shared" si="10"/>
        <v>3.1398000000000001</v>
      </c>
      <c r="J401" t="s">
        <v>95</v>
      </c>
      <c r="K401">
        <v>10</v>
      </c>
      <c r="L401" t="s">
        <v>107</v>
      </c>
    </row>
    <row r="402" spans="1:12" ht="15" x14ac:dyDescent="0.25">
      <c r="A402" s="5">
        <v>45776</v>
      </c>
      <c r="B402" t="s">
        <v>20</v>
      </c>
      <c r="C402">
        <v>2.875</v>
      </c>
      <c r="D402" s="5">
        <v>49436</v>
      </c>
      <c r="E402">
        <v>10</v>
      </c>
      <c r="F402" t="s">
        <v>76</v>
      </c>
      <c r="G402">
        <v>500000000</v>
      </c>
      <c r="H402">
        <v>0.55000000000000004</v>
      </c>
      <c r="I402">
        <f t="shared" si="10"/>
        <v>3.1398000000000001</v>
      </c>
      <c r="J402" t="s">
        <v>96</v>
      </c>
      <c r="K402">
        <v>10</v>
      </c>
      <c r="L402" t="s">
        <v>108</v>
      </c>
    </row>
    <row r="403" spans="1:12" ht="15" x14ac:dyDescent="0.25">
      <c r="A403" s="5">
        <v>45776</v>
      </c>
      <c r="B403" t="s">
        <v>20</v>
      </c>
      <c r="C403">
        <v>2.875</v>
      </c>
      <c r="D403" s="5">
        <v>49436</v>
      </c>
      <c r="E403">
        <v>10</v>
      </c>
      <c r="F403" t="s">
        <v>76</v>
      </c>
      <c r="G403">
        <v>500000000</v>
      </c>
      <c r="H403">
        <v>0.72</v>
      </c>
      <c r="I403">
        <f t="shared" si="10"/>
        <v>3.3098000000000001</v>
      </c>
      <c r="J403" t="s">
        <v>97</v>
      </c>
      <c r="K403">
        <v>10</v>
      </c>
      <c r="L403" t="s">
        <v>109</v>
      </c>
    </row>
    <row r="404" spans="1:12" ht="15" x14ac:dyDescent="0.25">
      <c r="A404" s="5">
        <v>45776</v>
      </c>
      <c r="B404" t="s">
        <v>21</v>
      </c>
      <c r="C404">
        <v>3.6</v>
      </c>
      <c r="D404" s="5">
        <v>49583</v>
      </c>
      <c r="E404">
        <v>10</v>
      </c>
      <c r="F404" t="s">
        <v>76</v>
      </c>
      <c r="G404">
        <v>5200000000000</v>
      </c>
      <c r="H404">
        <v>0.55000000000000004</v>
      </c>
      <c r="I404">
        <f t="shared" si="10"/>
        <v>3.1398000000000001</v>
      </c>
      <c r="J404" t="s">
        <v>95</v>
      </c>
      <c r="K404">
        <v>10</v>
      </c>
      <c r="L404" t="s">
        <v>107</v>
      </c>
    </row>
    <row r="405" spans="1:12" ht="15" x14ac:dyDescent="0.25">
      <c r="A405" s="5">
        <v>45776</v>
      </c>
      <c r="B405" t="s">
        <v>21</v>
      </c>
      <c r="C405">
        <v>3.6</v>
      </c>
      <c r="D405" s="5">
        <v>49583</v>
      </c>
      <c r="E405">
        <v>10</v>
      </c>
      <c r="F405" t="s">
        <v>76</v>
      </c>
      <c r="G405">
        <v>5200000000000</v>
      </c>
      <c r="H405">
        <v>0.55000000000000004</v>
      </c>
      <c r="I405">
        <f t="shared" si="10"/>
        <v>3.1398000000000001</v>
      </c>
      <c r="J405" t="s">
        <v>96</v>
      </c>
      <c r="K405">
        <v>10</v>
      </c>
      <c r="L405" t="s">
        <v>108</v>
      </c>
    </row>
    <row r="406" spans="1:12" ht="15" x14ac:dyDescent="0.25">
      <c r="A406" s="5">
        <v>45776</v>
      </c>
      <c r="B406" t="s">
        <v>21</v>
      </c>
      <c r="C406">
        <v>3.6</v>
      </c>
      <c r="D406" s="5">
        <v>49583</v>
      </c>
      <c r="E406">
        <v>10</v>
      </c>
      <c r="F406" t="s">
        <v>76</v>
      </c>
      <c r="G406">
        <v>5200000000000</v>
      </c>
      <c r="H406">
        <v>0.72</v>
      </c>
      <c r="I406">
        <f t="shared" si="10"/>
        <v>3.3098000000000001</v>
      </c>
      <c r="J406" t="s">
        <v>97</v>
      </c>
      <c r="K406">
        <v>10</v>
      </c>
      <c r="L406" t="s">
        <v>109</v>
      </c>
    </row>
    <row r="407" spans="1:12" ht="15" x14ac:dyDescent="0.25">
      <c r="A407" s="5">
        <v>45775</v>
      </c>
      <c r="B407" t="s">
        <v>26</v>
      </c>
      <c r="C407">
        <v>3.1</v>
      </c>
      <c r="D407" s="5">
        <v>49482</v>
      </c>
      <c r="E407">
        <v>10</v>
      </c>
      <c r="F407" t="s">
        <v>76</v>
      </c>
      <c r="G407">
        <v>8310000000000</v>
      </c>
      <c r="H407">
        <v>0.55000000000000004</v>
      </c>
      <c r="I407">
        <f t="shared" si="10"/>
        <v>3.1398000000000001</v>
      </c>
      <c r="J407" t="s">
        <v>95</v>
      </c>
      <c r="K407">
        <v>10</v>
      </c>
      <c r="L407" t="s">
        <v>107</v>
      </c>
    </row>
    <row r="408" spans="1:12" ht="15" x14ac:dyDescent="0.25">
      <c r="A408" s="5">
        <v>45775</v>
      </c>
      <c r="B408" t="s">
        <v>26</v>
      </c>
      <c r="C408">
        <v>3.1</v>
      </c>
      <c r="D408" s="5">
        <v>49482</v>
      </c>
      <c r="E408">
        <v>10</v>
      </c>
      <c r="F408" t="s">
        <v>76</v>
      </c>
      <c r="G408">
        <v>8310000000000</v>
      </c>
      <c r="H408">
        <v>0.55000000000000004</v>
      </c>
      <c r="I408">
        <f t="shared" si="10"/>
        <v>3.1398000000000001</v>
      </c>
      <c r="J408" t="s">
        <v>96</v>
      </c>
      <c r="K408">
        <v>10</v>
      </c>
      <c r="L408" t="s">
        <v>108</v>
      </c>
    </row>
    <row r="409" spans="1:12" ht="15" x14ac:dyDescent="0.25">
      <c r="A409" s="5">
        <v>45775</v>
      </c>
      <c r="B409" t="s">
        <v>26</v>
      </c>
      <c r="C409">
        <v>3.1</v>
      </c>
      <c r="D409" s="5">
        <v>49482</v>
      </c>
      <c r="E409">
        <v>10</v>
      </c>
      <c r="F409" t="s">
        <v>76</v>
      </c>
      <c r="G409">
        <v>8310000000000</v>
      </c>
      <c r="H409">
        <v>0.72</v>
      </c>
      <c r="I409">
        <f t="shared" si="10"/>
        <v>3.3098000000000001</v>
      </c>
      <c r="J409" t="s">
        <v>97</v>
      </c>
      <c r="K409">
        <v>10</v>
      </c>
      <c r="L409" t="s">
        <v>109</v>
      </c>
    </row>
    <row r="410" spans="1:12" ht="15" x14ac:dyDescent="0.25">
      <c r="A410" s="5">
        <v>45771</v>
      </c>
      <c r="B410" t="s">
        <v>9</v>
      </c>
      <c r="C410">
        <v>3.46</v>
      </c>
      <c r="D410" s="5">
        <v>49431</v>
      </c>
      <c r="E410">
        <v>10</v>
      </c>
      <c r="F410" t="s">
        <v>76</v>
      </c>
      <c r="G410">
        <v>100000000</v>
      </c>
      <c r="H410">
        <v>0.55000000000000004</v>
      </c>
      <c r="I410">
        <f t="shared" si="10"/>
        <v>3.1398000000000001</v>
      </c>
      <c r="J410" t="s">
        <v>95</v>
      </c>
      <c r="K410">
        <v>10</v>
      </c>
      <c r="L410" t="s">
        <v>107</v>
      </c>
    </row>
    <row r="411" spans="1:12" ht="15" x14ac:dyDescent="0.25">
      <c r="A411" s="5">
        <v>45771</v>
      </c>
      <c r="B411" t="s">
        <v>9</v>
      </c>
      <c r="C411">
        <v>3.46</v>
      </c>
      <c r="D411" s="5">
        <v>49431</v>
      </c>
      <c r="E411">
        <v>10</v>
      </c>
      <c r="F411" t="s">
        <v>76</v>
      </c>
      <c r="G411">
        <v>100000000</v>
      </c>
      <c r="H411">
        <v>0.55000000000000004</v>
      </c>
      <c r="I411">
        <f t="shared" si="10"/>
        <v>3.1398000000000001</v>
      </c>
      <c r="J411" t="s">
        <v>96</v>
      </c>
      <c r="K411">
        <v>10</v>
      </c>
      <c r="L411" t="s">
        <v>108</v>
      </c>
    </row>
    <row r="412" spans="1:12" ht="15" x14ac:dyDescent="0.25">
      <c r="A412" s="5">
        <v>45771</v>
      </c>
      <c r="B412" t="s">
        <v>9</v>
      </c>
      <c r="C412">
        <v>3.46</v>
      </c>
      <c r="D412" s="5">
        <v>49431</v>
      </c>
      <c r="E412">
        <v>10</v>
      </c>
      <c r="F412" t="s">
        <v>76</v>
      </c>
      <c r="G412">
        <v>100000000</v>
      </c>
      <c r="H412">
        <v>0.72</v>
      </c>
      <c r="I412">
        <f t="shared" si="10"/>
        <v>3.3098000000000001</v>
      </c>
      <c r="J412" t="s">
        <v>97</v>
      </c>
      <c r="K412">
        <v>10</v>
      </c>
      <c r="L412" t="s">
        <v>109</v>
      </c>
    </row>
    <row r="413" spans="1:12" ht="15" x14ac:dyDescent="0.25">
      <c r="A413" s="5">
        <v>45771</v>
      </c>
      <c r="B413" t="s">
        <v>31</v>
      </c>
      <c r="C413">
        <v>3.5750000000000002</v>
      </c>
      <c r="D413" s="5">
        <v>49423</v>
      </c>
      <c r="E413">
        <v>10</v>
      </c>
      <c r="F413" t="s">
        <v>76</v>
      </c>
      <c r="G413">
        <v>24000000</v>
      </c>
      <c r="H413">
        <v>0.55000000000000004</v>
      </c>
      <c r="I413">
        <f t="shared" si="10"/>
        <v>3.1398000000000001</v>
      </c>
      <c r="J413" t="s">
        <v>95</v>
      </c>
      <c r="K413">
        <v>10</v>
      </c>
      <c r="L413" t="s">
        <v>107</v>
      </c>
    </row>
    <row r="414" spans="1:12" ht="15" x14ac:dyDescent="0.25">
      <c r="A414" s="5">
        <v>45771</v>
      </c>
      <c r="B414" t="s">
        <v>31</v>
      </c>
      <c r="C414">
        <v>3.5750000000000002</v>
      </c>
      <c r="D414" s="5">
        <v>49423</v>
      </c>
      <c r="E414">
        <v>10</v>
      </c>
      <c r="F414" t="s">
        <v>76</v>
      </c>
      <c r="G414">
        <v>24000000</v>
      </c>
      <c r="H414">
        <v>0.55000000000000004</v>
      </c>
      <c r="I414">
        <f t="shared" si="10"/>
        <v>3.1398000000000001</v>
      </c>
      <c r="J414" t="s">
        <v>96</v>
      </c>
      <c r="K414">
        <v>10</v>
      </c>
      <c r="L414" t="s">
        <v>108</v>
      </c>
    </row>
    <row r="415" spans="1:12" ht="15" x14ac:dyDescent="0.25">
      <c r="A415" s="5">
        <v>45771</v>
      </c>
      <c r="B415" t="s">
        <v>31</v>
      </c>
      <c r="C415">
        <v>3.5750000000000002</v>
      </c>
      <c r="D415" s="5">
        <v>49423</v>
      </c>
      <c r="E415">
        <v>10</v>
      </c>
      <c r="F415" t="s">
        <v>76</v>
      </c>
      <c r="G415">
        <v>24000000</v>
      </c>
      <c r="H415">
        <v>0.72</v>
      </c>
      <c r="I415">
        <f t="shared" si="10"/>
        <v>3.3098000000000001</v>
      </c>
      <c r="J415" t="s">
        <v>97</v>
      </c>
      <c r="K415">
        <v>10</v>
      </c>
      <c r="L415" t="s">
        <v>109</v>
      </c>
    </row>
    <row r="416" spans="1:12" ht="15" x14ac:dyDescent="0.25">
      <c r="A416" s="5">
        <v>45770</v>
      </c>
      <c r="B416" t="s">
        <v>12</v>
      </c>
      <c r="C416">
        <v>2.5</v>
      </c>
      <c r="D416" s="5">
        <v>49355</v>
      </c>
      <c r="E416">
        <v>10</v>
      </c>
      <c r="F416" t="s">
        <v>76</v>
      </c>
      <c r="G416">
        <v>28000000000000</v>
      </c>
      <c r="H416">
        <v>0.55000000000000004</v>
      </c>
      <c r="I416">
        <f t="shared" si="10"/>
        <v>3.1398000000000001</v>
      </c>
      <c r="J416" t="s">
        <v>95</v>
      </c>
      <c r="K416">
        <v>10</v>
      </c>
      <c r="L416" t="s">
        <v>107</v>
      </c>
    </row>
    <row r="417" spans="1:12" ht="15" x14ac:dyDescent="0.25">
      <c r="A417" s="5">
        <v>45770</v>
      </c>
      <c r="B417" t="s">
        <v>12</v>
      </c>
      <c r="C417">
        <v>2.5</v>
      </c>
      <c r="D417" s="5">
        <v>49355</v>
      </c>
      <c r="E417">
        <v>10</v>
      </c>
      <c r="F417" t="s">
        <v>76</v>
      </c>
      <c r="G417">
        <v>28000000000000</v>
      </c>
      <c r="H417">
        <v>0.55000000000000004</v>
      </c>
      <c r="I417">
        <f t="shared" si="10"/>
        <v>3.1398000000000001</v>
      </c>
      <c r="J417" t="s">
        <v>96</v>
      </c>
      <c r="K417">
        <v>10</v>
      </c>
      <c r="L417" t="s">
        <v>108</v>
      </c>
    </row>
    <row r="418" spans="1:12" ht="15" x14ac:dyDescent="0.25">
      <c r="A418" s="5">
        <v>45770</v>
      </c>
      <c r="B418" t="s">
        <v>12</v>
      </c>
      <c r="C418">
        <v>2.5</v>
      </c>
      <c r="D418" s="5">
        <v>49355</v>
      </c>
      <c r="E418">
        <v>10</v>
      </c>
      <c r="F418" t="s">
        <v>76</v>
      </c>
      <c r="G418">
        <v>28000000000000</v>
      </c>
      <c r="H418">
        <v>0.72</v>
      </c>
      <c r="I418">
        <f t="shared" si="10"/>
        <v>3.3098000000000001</v>
      </c>
      <c r="J418" t="s">
        <v>97</v>
      </c>
      <c r="K418">
        <v>10</v>
      </c>
      <c r="L418" t="s">
        <v>109</v>
      </c>
    </row>
    <row r="419" spans="1:12" ht="15" x14ac:dyDescent="0.25">
      <c r="A419" s="5">
        <v>45769</v>
      </c>
      <c r="B419" t="s">
        <v>32</v>
      </c>
      <c r="C419">
        <v>3.330000000000001</v>
      </c>
      <c r="D419" s="5">
        <v>49457</v>
      </c>
      <c r="E419">
        <v>10</v>
      </c>
      <c r="F419" t="s">
        <v>76</v>
      </c>
      <c r="G419">
        <v>20000000</v>
      </c>
      <c r="H419">
        <v>0.55000000000000004</v>
      </c>
      <c r="I419">
        <f t="shared" si="10"/>
        <v>3.1398000000000001</v>
      </c>
      <c r="J419" t="s">
        <v>95</v>
      </c>
      <c r="K419">
        <v>10</v>
      </c>
      <c r="L419" t="s">
        <v>107</v>
      </c>
    </row>
    <row r="420" spans="1:12" ht="15" x14ac:dyDescent="0.25">
      <c r="A420" s="5">
        <v>45769</v>
      </c>
      <c r="B420" t="s">
        <v>32</v>
      </c>
      <c r="C420">
        <v>3.330000000000001</v>
      </c>
      <c r="D420" s="5">
        <v>49457</v>
      </c>
      <c r="E420">
        <v>10</v>
      </c>
      <c r="F420" t="s">
        <v>76</v>
      </c>
      <c r="G420">
        <v>20000000</v>
      </c>
      <c r="H420">
        <v>0.55000000000000004</v>
      </c>
      <c r="I420">
        <f t="shared" si="10"/>
        <v>3.1398000000000001</v>
      </c>
      <c r="J420" t="s">
        <v>96</v>
      </c>
      <c r="K420">
        <v>10</v>
      </c>
      <c r="L420" t="s">
        <v>108</v>
      </c>
    </row>
    <row r="421" spans="1:12" ht="15" x14ac:dyDescent="0.25">
      <c r="A421" s="5">
        <v>45769</v>
      </c>
      <c r="B421" t="s">
        <v>32</v>
      </c>
      <c r="C421">
        <v>3.330000000000001</v>
      </c>
      <c r="D421" s="5">
        <v>49457</v>
      </c>
      <c r="E421">
        <v>10</v>
      </c>
      <c r="F421" t="s">
        <v>76</v>
      </c>
      <c r="G421">
        <v>20000000</v>
      </c>
      <c r="H421">
        <v>0.72</v>
      </c>
      <c r="I421">
        <f t="shared" si="10"/>
        <v>3.3098000000000001</v>
      </c>
      <c r="J421" t="s">
        <v>97</v>
      </c>
      <c r="K421">
        <v>10</v>
      </c>
      <c r="L421" t="s">
        <v>109</v>
      </c>
    </row>
    <row r="422" spans="1:12" ht="15" x14ac:dyDescent="0.25">
      <c r="A422" s="5">
        <v>45769</v>
      </c>
      <c r="B422" t="s">
        <v>32</v>
      </c>
      <c r="C422">
        <v>3</v>
      </c>
      <c r="D422" s="5">
        <v>49457</v>
      </c>
      <c r="E422">
        <v>10</v>
      </c>
      <c r="F422" t="s">
        <v>76</v>
      </c>
      <c r="G422">
        <v>20000000</v>
      </c>
      <c r="H422">
        <v>0.55000000000000004</v>
      </c>
      <c r="I422">
        <f t="shared" si="10"/>
        <v>3.1398000000000001</v>
      </c>
      <c r="J422" t="s">
        <v>95</v>
      </c>
      <c r="K422">
        <v>10</v>
      </c>
      <c r="L422" t="s">
        <v>107</v>
      </c>
    </row>
    <row r="423" spans="1:12" ht="15" x14ac:dyDescent="0.25">
      <c r="A423" s="5">
        <v>45769</v>
      </c>
      <c r="B423" t="s">
        <v>32</v>
      </c>
      <c r="C423">
        <v>3</v>
      </c>
      <c r="D423" s="5">
        <v>49457</v>
      </c>
      <c r="E423">
        <v>10</v>
      </c>
      <c r="F423" t="s">
        <v>76</v>
      </c>
      <c r="G423">
        <v>20000000</v>
      </c>
      <c r="H423">
        <v>0.55000000000000004</v>
      </c>
      <c r="I423">
        <f t="shared" si="10"/>
        <v>3.1398000000000001</v>
      </c>
      <c r="J423" t="s">
        <v>96</v>
      </c>
      <c r="K423">
        <v>10</v>
      </c>
      <c r="L423" t="s">
        <v>108</v>
      </c>
    </row>
    <row r="424" spans="1:12" ht="15" x14ac:dyDescent="0.25">
      <c r="A424" s="5">
        <v>45769</v>
      </c>
      <c r="B424" t="s">
        <v>32</v>
      </c>
      <c r="C424">
        <v>3</v>
      </c>
      <c r="D424" s="5">
        <v>49457</v>
      </c>
      <c r="E424">
        <v>10</v>
      </c>
      <c r="F424" t="s">
        <v>76</v>
      </c>
      <c r="G424">
        <v>20000000</v>
      </c>
      <c r="H424">
        <v>0.72</v>
      </c>
      <c r="I424">
        <f t="shared" si="10"/>
        <v>3.3098000000000001</v>
      </c>
      <c r="J424" t="s">
        <v>97</v>
      </c>
      <c r="K424">
        <v>10</v>
      </c>
      <c r="L424" t="s">
        <v>109</v>
      </c>
    </row>
    <row r="425" spans="1:12" ht="15" x14ac:dyDescent="0.25">
      <c r="A425" s="5">
        <v>45769</v>
      </c>
      <c r="B425" t="s">
        <v>35</v>
      </c>
      <c r="C425">
        <v>3.75</v>
      </c>
      <c r="D425" s="5">
        <v>49363</v>
      </c>
      <c r="E425">
        <v>10</v>
      </c>
      <c r="F425" t="s">
        <v>76</v>
      </c>
      <c r="G425">
        <v>4.3191E+16</v>
      </c>
      <c r="H425">
        <v>0.55000000000000004</v>
      </c>
      <c r="I425">
        <f t="shared" si="10"/>
        <v>3.1398000000000001</v>
      </c>
      <c r="J425" t="s">
        <v>95</v>
      </c>
      <c r="K425">
        <v>10</v>
      </c>
      <c r="L425" t="s">
        <v>107</v>
      </c>
    </row>
    <row r="426" spans="1:12" ht="15" x14ac:dyDescent="0.25">
      <c r="A426" s="5">
        <v>45769</v>
      </c>
      <c r="B426" t="s">
        <v>35</v>
      </c>
      <c r="C426">
        <v>3.75</v>
      </c>
      <c r="D426" s="5">
        <v>49363</v>
      </c>
      <c r="E426">
        <v>10</v>
      </c>
      <c r="F426" t="s">
        <v>76</v>
      </c>
      <c r="G426">
        <v>4.3191E+16</v>
      </c>
      <c r="H426">
        <v>0.55000000000000004</v>
      </c>
      <c r="I426">
        <f t="shared" si="10"/>
        <v>3.1398000000000001</v>
      </c>
      <c r="J426" t="s">
        <v>96</v>
      </c>
      <c r="K426">
        <v>10</v>
      </c>
      <c r="L426" t="s">
        <v>108</v>
      </c>
    </row>
    <row r="427" spans="1:12" ht="15" x14ac:dyDescent="0.25">
      <c r="A427" s="5">
        <v>45769</v>
      </c>
      <c r="B427" t="s">
        <v>35</v>
      </c>
      <c r="C427">
        <v>3.75</v>
      </c>
      <c r="D427" s="5">
        <v>49363</v>
      </c>
      <c r="E427">
        <v>10</v>
      </c>
      <c r="F427" t="s">
        <v>76</v>
      </c>
      <c r="G427">
        <v>4.3191E+16</v>
      </c>
      <c r="H427">
        <v>0.72</v>
      </c>
      <c r="I427">
        <f t="shared" si="10"/>
        <v>3.3098000000000001</v>
      </c>
      <c r="J427" t="s">
        <v>97</v>
      </c>
      <c r="K427">
        <v>10</v>
      </c>
      <c r="L427" t="s">
        <v>109</v>
      </c>
    </row>
    <row r="428" spans="1:12" ht="15" x14ac:dyDescent="0.25">
      <c r="A428" s="5">
        <v>45769</v>
      </c>
      <c r="B428" t="s">
        <v>38</v>
      </c>
      <c r="C428">
        <v>4.6319999999999997</v>
      </c>
      <c r="D428" s="5">
        <v>49429</v>
      </c>
      <c r="E428">
        <v>10</v>
      </c>
      <c r="F428" t="s">
        <v>76</v>
      </c>
      <c r="G428">
        <v>100000000</v>
      </c>
      <c r="H428">
        <v>0.55000000000000004</v>
      </c>
      <c r="I428">
        <f t="shared" si="10"/>
        <v>3.1398000000000001</v>
      </c>
      <c r="J428" t="s">
        <v>95</v>
      </c>
      <c r="K428">
        <v>10</v>
      </c>
      <c r="L428" t="s">
        <v>107</v>
      </c>
    </row>
    <row r="429" spans="1:12" ht="15" x14ac:dyDescent="0.25">
      <c r="A429" s="5">
        <v>45769</v>
      </c>
      <c r="B429" t="s">
        <v>38</v>
      </c>
      <c r="C429">
        <v>4.6319999999999997</v>
      </c>
      <c r="D429" s="5">
        <v>49429</v>
      </c>
      <c r="E429">
        <v>10</v>
      </c>
      <c r="F429" t="s">
        <v>76</v>
      </c>
      <c r="G429">
        <v>100000000</v>
      </c>
      <c r="H429">
        <v>0.55000000000000004</v>
      </c>
      <c r="I429">
        <f t="shared" si="10"/>
        <v>3.1398000000000001</v>
      </c>
      <c r="J429" t="s">
        <v>96</v>
      </c>
      <c r="K429">
        <v>10</v>
      </c>
      <c r="L429" t="s">
        <v>108</v>
      </c>
    </row>
    <row r="430" spans="1:12" ht="15" x14ac:dyDescent="0.25">
      <c r="A430" s="5">
        <v>45769</v>
      </c>
      <c r="B430" t="s">
        <v>38</v>
      </c>
      <c r="C430">
        <v>4.6319999999999997</v>
      </c>
      <c r="D430" s="5">
        <v>49429</v>
      </c>
      <c r="E430">
        <v>10</v>
      </c>
      <c r="F430" t="s">
        <v>76</v>
      </c>
      <c r="G430">
        <v>100000000</v>
      </c>
      <c r="H430">
        <v>0.72</v>
      </c>
      <c r="I430">
        <f t="shared" si="10"/>
        <v>3.3098000000000001</v>
      </c>
      <c r="J430" t="s">
        <v>97</v>
      </c>
      <c r="K430">
        <v>10</v>
      </c>
      <c r="L430" t="s">
        <v>109</v>
      </c>
    </row>
    <row r="431" spans="1:12" ht="15" x14ac:dyDescent="0.25">
      <c r="A431" s="5">
        <v>45763</v>
      </c>
      <c r="B431" t="s">
        <v>42</v>
      </c>
      <c r="C431">
        <v>4.25</v>
      </c>
      <c r="D431" s="5">
        <v>49429</v>
      </c>
      <c r="E431">
        <v>10</v>
      </c>
      <c r="F431" t="s">
        <v>76</v>
      </c>
      <c r="G431">
        <v>30000000</v>
      </c>
      <c r="H431">
        <v>0.55000000000000004</v>
      </c>
      <c r="I431">
        <f t="shared" si="10"/>
        <v>3.1398000000000001</v>
      </c>
      <c r="J431" t="s">
        <v>95</v>
      </c>
      <c r="K431">
        <v>10</v>
      </c>
      <c r="L431" t="s">
        <v>107</v>
      </c>
    </row>
    <row r="432" spans="1:12" ht="15" x14ac:dyDescent="0.25">
      <c r="A432" s="5">
        <v>45763</v>
      </c>
      <c r="B432" t="s">
        <v>42</v>
      </c>
      <c r="C432">
        <v>4.25</v>
      </c>
      <c r="D432" s="5">
        <v>49429</v>
      </c>
      <c r="E432">
        <v>10</v>
      </c>
      <c r="F432" t="s">
        <v>76</v>
      </c>
      <c r="G432">
        <v>30000000</v>
      </c>
      <c r="H432">
        <v>0.55000000000000004</v>
      </c>
      <c r="I432">
        <f t="shared" si="10"/>
        <v>3.1398000000000001</v>
      </c>
      <c r="J432" t="s">
        <v>96</v>
      </c>
      <c r="K432">
        <v>10</v>
      </c>
      <c r="L432" t="s">
        <v>108</v>
      </c>
    </row>
    <row r="433" spans="1:12" ht="15" x14ac:dyDescent="0.25">
      <c r="A433" s="5">
        <v>45763</v>
      </c>
      <c r="B433" t="s">
        <v>42</v>
      </c>
      <c r="C433">
        <v>4.25</v>
      </c>
      <c r="D433" s="5">
        <v>49429</v>
      </c>
      <c r="E433">
        <v>10</v>
      </c>
      <c r="F433" t="s">
        <v>76</v>
      </c>
      <c r="G433">
        <v>30000000</v>
      </c>
      <c r="H433">
        <v>0.72</v>
      </c>
      <c r="I433">
        <f t="shared" si="10"/>
        <v>3.3098000000000001</v>
      </c>
      <c r="J433" t="s">
        <v>97</v>
      </c>
      <c r="K433">
        <v>10</v>
      </c>
      <c r="L433" t="s">
        <v>109</v>
      </c>
    </row>
    <row r="434" spans="1:12" ht="15" x14ac:dyDescent="0.25">
      <c r="A434" s="5">
        <v>45761</v>
      </c>
      <c r="B434" t="s">
        <v>31</v>
      </c>
      <c r="C434">
        <v>3.22</v>
      </c>
      <c r="D434" s="5">
        <v>49423</v>
      </c>
      <c r="E434">
        <v>10</v>
      </c>
      <c r="F434" t="s">
        <v>76</v>
      </c>
      <c r="G434">
        <v>24000000</v>
      </c>
      <c r="H434">
        <v>0.55000000000000004</v>
      </c>
      <c r="I434">
        <f t="shared" si="10"/>
        <v>3.1398000000000001</v>
      </c>
      <c r="J434" t="s">
        <v>95</v>
      </c>
      <c r="K434">
        <v>10</v>
      </c>
      <c r="L434" t="s">
        <v>107</v>
      </c>
    </row>
    <row r="435" spans="1:12" ht="15" x14ac:dyDescent="0.25">
      <c r="A435" s="5">
        <v>45761</v>
      </c>
      <c r="B435" t="s">
        <v>31</v>
      </c>
      <c r="C435">
        <v>3.22</v>
      </c>
      <c r="D435" s="5">
        <v>49423</v>
      </c>
      <c r="E435">
        <v>10</v>
      </c>
      <c r="F435" t="s">
        <v>76</v>
      </c>
      <c r="G435">
        <v>24000000</v>
      </c>
      <c r="H435">
        <v>0.55000000000000004</v>
      </c>
      <c r="I435">
        <f t="shared" si="10"/>
        <v>3.1398000000000001</v>
      </c>
      <c r="J435" t="s">
        <v>96</v>
      </c>
      <c r="K435">
        <v>10</v>
      </c>
      <c r="L435" t="s">
        <v>108</v>
      </c>
    </row>
    <row r="436" spans="1:12" ht="15" x14ac:dyDescent="0.25">
      <c r="A436" s="5">
        <v>45761</v>
      </c>
      <c r="B436" t="s">
        <v>31</v>
      </c>
      <c r="C436">
        <v>3.22</v>
      </c>
      <c r="D436" s="5">
        <v>49423</v>
      </c>
      <c r="E436">
        <v>10</v>
      </c>
      <c r="F436" t="s">
        <v>76</v>
      </c>
      <c r="G436">
        <v>24000000</v>
      </c>
      <c r="H436">
        <v>0.72</v>
      </c>
      <c r="I436">
        <f t="shared" si="10"/>
        <v>3.3098000000000001</v>
      </c>
      <c r="J436" t="s">
        <v>97</v>
      </c>
      <c r="K436">
        <v>10</v>
      </c>
      <c r="L436" t="s">
        <v>109</v>
      </c>
    </row>
    <row r="437" spans="1:12" ht="15" x14ac:dyDescent="0.25">
      <c r="A437" s="5">
        <v>45761</v>
      </c>
      <c r="B437" t="s">
        <v>31</v>
      </c>
      <c r="C437">
        <v>3.22</v>
      </c>
      <c r="D437" s="5">
        <v>49423</v>
      </c>
      <c r="E437">
        <v>10</v>
      </c>
      <c r="F437" t="s">
        <v>76</v>
      </c>
      <c r="G437">
        <v>24000000</v>
      </c>
      <c r="H437">
        <v>0.55000000000000004</v>
      </c>
      <c r="I437">
        <f t="shared" si="10"/>
        <v>3.1398000000000001</v>
      </c>
      <c r="J437" t="s">
        <v>95</v>
      </c>
      <c r="K437">
        <v>10</v>
      </c>
      <c r="L437" t="s">
        <v>107</v>
      </c>
    </row>
    <row r="438" spans="1:12" ht="15" x14ac:dyDescent="0.25">
      <c r="A438" s="5">
        <v>45761</v>
      </c>
      <c r="B438" t="s">
        <v>31</v>
      </c>
      <c r="C438">
        <v>3.22</v>
      </c>
      <c r="D438" s="5">
        <v>49423</v>
      </c>
      <c r="E438">
        <v>10</v>
      </c>
      <c r="F438" t="s">
        <v>76</v>
      </c>
      <c r="G438">
        <v>24000000</v>
      </c>
      <c r="H438">
        <v>0.55000000000000004</v>
      </c>
      <c r="I438">
        <f t="shared" si="10"/>
        <v>3.1398000000000001</v>
      </c>
      <c r="J438" t="s">
        <v>96</v>
      </c>
      <c r="K438">
        <v>10</v>
      </c>
      <c r="L438" t="s">
        <v>108</v>
      </c>
    </row>
    <row r="439" spans="1:12" ht="15" x14ac:dyDescent="0.25">
      <c r="A439" s="5">
        <v>45761</v>
      </c>
      <c r="B439" t="s">
        <v>31</v>
      </c>
      <c r="C439">
        <v>3.22</v>
      </c>
      <c r="D439" s="5">
        <v>49423</v>
      </c>
      <c r="E439">
        <v>10</v>
      </c>
      <c r="F439" t="s">
        <v>76</v>
      </c>
      <c r="G439">
        <v>24000000</v>
      </c>
      <c r="H439">
        <v>0.72</v>
      </c>
      <c r="I439">
        <f t="shared" si="10"/>
        <v>3.3098000000000001</v>
      </c>
      <c r="J439" t="s">
        <v>97</v>
      </c>
      <c r="K439">
        <v>10</v>
      </c>
      <c r="L439" t="s">
        <v>109</v>
      </c>
    </row>
    <row r="440" spans="1:12" ht="15" x14ac:dyDescent="0.25">
      <c r="A440" s="5">
        <v>45761</v>
      </c>
      <c r="B440" t="s">
        <v>31</v>
      </c>
      <c r="C440">
        <v>3.22</v>
      </c>
      <c r="D440" s="5">
        <v>49423</v>
      </c>
      <c r="E440">
        <v>10</v>
      </c>
      <c r="F440" t="s">
        <v>76</v>
      </c>
      <c r="G440">
        <v>24000000</v>
      </c>
      <c r="H440">
        <v>0.55000000000000004</v>
      </c>
      <c r="I440">
        <f t="shared" si="10"/>
        <v>3.1398000000000001</v>
      </c>
      <c r="J440" t="s">
        <v>95</v>
      </c>
      <c r="K440">
        <v>10</v>
      </c>
      <c r="L440" t="s">
        <v>107</v>
      </c>
    </row>
    <row r="441" spans="1:12" ht="15" x14ac:dyDescent="0.25">
      <c r="A441" s="5">
        <v>45761</v>
      </c>
      <c r="B441" t="s">
        <v>31</v>
      </c>
      <c r="C441">
        <v>3.22</v>
      </c>
      <c r="D441" s="5">
        <v>49423</v>
      </c>
      <c r="E441">
        <v>10</v>
      </c>
      <c r="F441" t="s">
        <v>76</v>
      </c>
      <c r="G441">
        <v>24000000</v>
      </c>
      <c r="H441">
        <v>0.55000000000000004</v>
      </c>
      <c r="I441">
        <f t="shared" si="10"/>
        <v>3.1398000000000001</v>
      </c>
      <c r="J441" t="s">
        <v>96</v>
      </c>
      <c r="K441">
        <v>10</v>
      </c>
      <c r="L441" t="s">
        <v>108</v>
      </c>
    </row>
    <row r="442" spans="1:12" ht="15" x14ac:dyDescent="0.25">
      <c r="A442" s="5">
        <v>45761</v>
      </c>
      <c r="B442" t="s">
        <v>31</v>
      </c>
      <c r="C442">
        <v>3.22</v>
      </c>
      <c r="D442" s="5">
        <v>49423</v>
      </c>
      <c r="E442">
        <v>10</v>
      </c>
      <c r="F442" t="s">
        <v>76</v>
      </c>
      <c r="G442">
        <v>24000000</v>
      </c>
      <c r="H442">
        <v>0.72</v>
      </c>
      <c r="I442">
        <f t="shared" si="10"/>
        <v>3.3098000000000001</v>
      </c>
      <c r="J442" t="s">
        <v>97</v>
      </c>
      <c r="K442">
        <v>10</v>
      </c>
      <c r="L442" t="s">
        <v>109</v>
      </c>
    </row>
    <row r="443" spans="1:12" ht="15" x14ac:dyDescent="0.25">
      <c r="A443" s="5">
        <v>45761</v>
      </c>
      <c r="B443" t="s">
        <v>31</v>
      </c>
      <c r="C443">
        <v>3.22</v>
      </c>
      <c r="D443" s="5">
        <v>49423</v>
      </c>
      <c r="E443">
        <v>10</v>
      </c>
      <c r="F443" t="s">
        <v>76</v>
      </c>
      <c r="G443">
        <v>24000000</v>
      </c>
      <c r="H443">
        <v>0.55000000000000004</v>
      </c>
      <c r="I443">
        <f t="shared" si="10"/>
        <v>3.1398000000000001</v>
      </c>
      <c r="J443" t="s">
        <v>95</v>
      </c>
      <c r="K443">
        <v>10</v>
      </c>
      <c r="L443" t="s">
        <v>107</v>
      </c>
    </row>
    <row r="444" spans="1:12" ht="15" x14ac:dyDescent="0.25">
      <c r="A444" s="5">
        <v>45761</v>
      </c>
      <c r="B444" t="s">
        <v>31</v>
      </c>
      <c r="C444">
        <v>3.22</v>
      </c>
      <c r="D444" s="5">
        <v>49423</v>
      </c>
      <c r="E444">
        <v>10</v>
      </c>
      <c r="F444" t="s">
        <v>76</v>
      </c>
      <c r="G444">
        <v>24000000</v>
      </c>
      <c r="H444">
        <v>0.55000000000000004</v>
      </c>
      <c r="I444">
        <f t="shared" si="10"/>
        <v>3.1398000000000001</v>
      </c>
      <c r="J444" t="s">
        <v>96</v>
      </c>
      <c r="K444">
        <v>10</v>
      </c>
      <c r="L444" t="s">
        <v>108</v>
      </c>
    </row>
    <row r="445" spans="1:12" ht="15" x14ac:dyDescent="0.25">
      <c r="A445" s="5">
        <v>45761</v>
      </c>
      <c r="B445" t="s">
        <v>31</v>
      </c>
      <c r="C445">
        <v>3.22</v>
      </c>
      <c r="D445" s="5">
        <v>49423</v>
      </c>
      <c r="E445">
        <v>10</v>
      </c>
      <c r="F445" t="s">
        <v>76</v>
      </c>
      <c r="G445">
        <v>24000000</v>
      </c>
      <c r="H445">
        <v>0.72</v>
      </c>
      <c r="I445">
        <f t="shared" si="10"/>
        <v>3.3098000000000001</v>
      </c>
      <c r="J445" t="s">
        <v>97</v>
      </c>
      <c r="K445">
        <v>10</v>
      </c>
      <c r="L445" t="s">
        <v>109</v>
      </c>
    </row>
    <row r="446" spans="1:12" ht="15" x14ac:dyDescent="0.25">
      <c r="A446" s="5">
        <v>45757</v>
      </c>
      <c r="B446" t="s">
        <v>51</v>
      </c>
      <c r="C446">
        <v>3</v>
      </c>
      <c r="D446" s="5">
        <v>49416</v>
      </c>
      <c r="E446">
        <v>10</v>
      </c>
      <c r="F446" t="s">
        <v>76</v>
      </c>
      <c r="G446">
        <v>500000000</v>
      </c>
      <c r="H446">
        <v>0.55000000000000004</v>
      </c>
      <c r="I446">
        <f t="shared" si="10"/>
        <v>3.1398000000000001</v>
      </c>
      <c r="J446" t="s">
        <v>95</v>
      </c>
      <c r="K446">
        <v>10</v>
      </c>
      <c r="L446" t="s">
        <v>107</v>
      </c>
    </row>
    <row r="447" spans="1:12" ht="15" x14ac:dyDescent="0.25">
      <c r="A447" s="5">
        <v>45757</v>
      </c>
      <c r="B447" t="s">
        <v>51</v>
      </c>
      <c r="C447">
        <v>3</v>
      </c>
      <c r="D447" s="5">
        <v>49416</v>
      </c>
      <c r="E447">
        <v>10</v>
      </c>
      <c r="F447" t="s">
        <v>76</v>
      </c>
      <c r="G447">
        <v>500000000</v>
      </c>
      <c r="H447">
        <v>0.55000000000000004</v>
      </c>
      <c r="I447">
        <f t="shared" si="10"/>
        <v>3.1398000000000001</v>
      </c>
      <c r="J447" t="s">
        <v>96</v>
      </c>
      <c r="K447">
        <v>10</v>
      </c>
      <c r="L447" t="s">
        <v>108</v>
      </c>
    </row>
    <row r="448" spans="1:12" ht="15" x14ac:dyDescent="0.25">
      <c r="A448" s="5">
        <v>45757</v>
      </c>
      <c r="B448" t="s">
        <v>51</v>
      </c>
      <c r="C448">
        <v>3</v>
      </c>
      <c r="D448" s="5">
        <v>49416</v>
      </c>
      <c r="E448">
        <v>10</v>
      </c>
      <c r="F448" t="s">
        <v>76</v>
      </c>
      <c r="G448">
        <v>500000000</v>
      </c>
      <c r="H448">
        <v>0.72</v>
      </c>
      <c r="I448">
        <f t="shared" si="10"/>
        <v>3.3098000000000001</v>
      </c>
      <c r="J448" t="s">
        <v>97</v>
      </c>
      <c r="K448">
        <v>10</v>
      </c>
      <c r="L448" t="s">
        <v>109</v>
      </c>
    </row>
    <row r="449" spans="1:12" ht="15" x14ac:dyDescent="0.25">
      <c r="A449" s="5">
        <v>45757</v>
      </c>
      <c r="B449" t="s">
        <v>52</v>
      </c>
      <c r="C449">
        <v>3.15</v>
      </c>
      <c r="D449" s="5">
        <v>49429</v>
      </c>
      <c r="E449">
        <v>10</v>
      </c>
      <c r="F449" t="s">
        <v>76</v>
      </c>
      <c r="G449">
        <v>23930000000000</v>
      </c>
      <c r="H449">
        <v>0.55000000000000004</v>
      </c>
      <c r="I449">
        <f t="shared" si="10"/>
        <v>3.1398000000000001</v>
      </c>
      <c r="J449" t="s">
        <v>95</v>
      </c>
      <c r="K449">
        <v>10</v>
      </c>
      <c r="L449" t="s">
        <v>107</v>
      </c>
    </row>
    <row r="450" spans="1:12" ht="15" x14ac:dyDescent="0.25">
      <c r="A450" s="5">
        <v>45757</v>
      </c>
      <c r="B450" t="s">
        <v>52</v>
      </c>
      <c r="C450">
        <v>3.15</v>
      </c>
      <c r="D450" s="5">
        <v>49429</v>
      </c>
      <c r="E450">
        <v>10</v>
      </c>
      <c r="F450" t="s">
        <v>76</v>
      </c>
      <c r="G450">
        <v>23930000000000</v>
      </c>
      <c r="H450">
        <v>0.55000000000000004</v>
      </c>
      <c r="I450">
        <f t="shared" si="10"/>
        <v>3.1398000000000001</v>
      </c>
      <c r="J450" t="s">
        <v>96</v>
      </c>
      <c r="K450">
        <v>10</v>
      </c>
      <c r="L450" t="s">
        <v>108</v>
      </c>
    </row>
    <row r="451" spans="1:12" ht="15" x14ac:dyDescent="0.25">
      <c r="A451" s="5">
        <v>45757</v>
      </c>
      <c r="B451" t="s">
        <v>52</v>
      </c>
      <c r="C451">
        <v>3.15</v>
      </c>
      <c r="D451" s="5">
        <v>49429</v>
      </c>
      <c r="E451">
        <v>10</v>
      </c>
      <c r="F451" t="s">
        <v>76</v>
      </c>
      <c r="G451">
        <v>23930000000000</v>
      </c>
      <c r="H451">
        <v>0.72</v>
      </c>
      <c r="I451">
        <f t="shared" si="10"/>
        <v>3.3098000000000001</v>
      </c>
      <c r="J451" t="s">
        <v>97</v>
      </c>
      <c r="K451">
        <v>10</v>
      </c>
      <c r="L451" t="s">
        <v>109</v>
      </c>
    </row>
    <row r="452" spans="1:12" ht="15" x14ac:dyDescent="0.25">
      <c r="A452" s="5">
        <v>45755</v>
      </c>
      <c r="B452" t="s">
        <v>57</v>
      </c>
      <c r="C452">
        <v>3</v>
      </c>
      <c r="D452" s="5">
        <v>49415</v>
      </c>
      <c r="E452">
        <v>10</v>
      </c>
      <c r="F452" t="s">
        <v>76</v>
      </c>
      <c r="G452">
        <v>500000000</v>
      </c>
      <c r="H452">
        <v>0.55000000000000004</v>
      </c>
      <c r="I452">
        <f t="shared" si="10"/>
        <v>3.1398000000000001</v>
      </c>
      <c r="J452" t="s">
        <v>95</v>
      </c>
      <c r="K452">
        <v>10</v>
      </c>
      <c r="L452" t="s">
        <v>107</v>
      </c>
    </row>
    <row r="453" spans="1:12" ht="15" x14ac:dyDescent="0.25">
      <c r="A453" s="5">
        <v>45755</v>
      </c>
      <c r="B453" t="s">
        <v>57</v>
      </c>
      <c r="C453">
        <v>3</v>
      </c>
      <c r="D453" s="5">
        <v>49415</v>
      </c>
      <c r="E453">
        <v>10</v>
      </c>
      <c r="F453" t="s">
        <v>76</v>
      </c>
      <c r="G453">
        <v>500000000</v>
      </c>
      <c r="H453">
        <v>0.55000000000000004</v>
      </c>
      <c r="I453">
        <f t="shared" si="10"/>
        <v>3.1398000000000001</v>
      </c>
      <c r="J453" t="s">
        <v>96</v>
      </c>
      <c r="K453">
        <v>10</v>
      </c>
      <c r="L453" t="s">
        <v>108</v>
      </c>
    </row>
    <row r="454" spans="1:12" ht="15" x14ac:dyDescent="0.25">
      <c r="A454" s="5">
        <v>45755</v>
      </c>
      <c r="B454" t="s">
        <v>57</v>
      </c>
      <c r="C454">
        <v>3</v>
      </c>
      <c r="D454" s="5">
        <v>49415</v>
      </c>
      <c r="E454">
        <v>10</v>
      </c>
      <c r="F454" t="s">
        <v>76</v>
      </c>
      <c r="G454">
        <v>500000000</v>
      </c>
      <c r="H454">
        <v>0.72</v>
      </c>
      <c r="I454">
        <f t="shared" si="10"/>
        <v>3.3098000000000001</v>
      </c>
      <c r="J454" t="s">
        <v>97</v>
      </c>
      <c r="K454">
        <v>10</v>
      </c>
      <c r="L454" t="s">
        <v>109</v>
      </c>
    </row>
    <row r="455" spans="1:12" ht="15" x14ac:dyDescent="0.25">
      <c r="A455" s="5">
        <v>45755</v>
      </c>
      <c r="B455" t="s">
        <v>12</v>
      </c>
      <c r="C455">
        <v>2.5</v>
      </c>
      <c r="D455" s="5">
        <v>49355</v>
      </c>
      <c r="E455">
        <v>10</v>
      </c>
      <c r="F455" t="s">
        <v>76</v>
      </c>
      <c r="G455">
        <v>3000000000000</v>
      </c>
      <c r="H455">
        <v>0.55000000000000004</v>
      </c>
      <c r="I455">
        <f t="shared" si="10"/>
        <v>3.1398000000000001</v>
      </c>
      <c r="J455" t="s">
        <v>95</v>
      </c>
      <c r="K455">
        <v>10</v>
      </c>
      <c r="L455" t="s">
        <v>107</v>
      </c>
    </row>
    <row r="456" spans="1:12" ht="15" x14ac:dyDescent="0.25">
      <c r="A456" s="5">
        <v>45755</v>
      </c>
      <c r="B456" t="s">
        <v>12</v>
      </c>
      <c r="C456">
        <v>2.5</v>
      </c>
      <c r="D456" s="5">
        <v>49355</v>
      </c>
      <c r="E456">
        <v>10</v>
      </c>
      <c r="F456" t="s">
        <v>76</v>
      </c>
      <c r="G456">
        <v>3000000000000</v>
      </c>
      <c r="H456">
        <v>0.55000000000000004</v>
      </c>
      <c r="I456">
        <f t="shared" si="10"/>
        <v>3.1398000000000001</v>
      </c>
      <c r="J456" t="s">
        <v>96</v>
      </c>
      <c r="K456">
        <v>10</v>
      </c>
      <c r="L456" t="s">
        <v>108</v>
      </c>
    </row>
    <row r="457" spans="1:12" ht="15" x14ac:dyDescent="0.25">
      <c r="A457" s="5">
        <v>45755</v>
      </c>
      <c r="B457" t="s">
        <v>12</v>
      </c>
      <c r="C457">
        <v>2.5</v>
      </c>
      <c r="D457" s="5">
        <v>49355</v>
      </c>
      <c r="E457">
        <v>10</v>
      </c>
      <c r="F457" t="s">
        <v>76</v>
      </c>
      <c r="G457">
        <v>3000000000000</v>
      </c>
      <c r="H457">
        <v>0.72</v>
      </c>
      <c r="I457">
        <f t="shared" si="10"/>
        <v>3.3098000000000001</v>
      </c>
      <c r="J457" t="s">
        <v>97</v>
      </c>
      <c r="K457">
        <v>10</v>
      </c>
      <c r="L457" t="s">
        <v>109</v>
      </c>
    </row>
    <row r="458" spans="1:12" ht="15" x14ac:dyDescent="0.25">
      <c r="A458" s="5">
        <v>45755</v>
      </c>
      <c r="B458" t="s">
        <v>59</v>
      </c>
      <c r="C458">
        <v>3.375</v>
      </c>
      <c r="D458" s="5">
        <v>49415</v>
      </c>
      <c r="E458">
        <v>10</v>
      </c>
      <c r="F458" t="s">
        <v>76</v>
      </c>
      <c r="G458">
        <v>25000000</v>
      </c>
      <c r="H458">
        <v>0.55000000000000004</v>
      </c>
      <c r="I458">
        <f t="shared" si="10"/>
        <v>3.1398000000000001</v>
      </c>
      <c r="J458" t="s">
        <v>95</v>
      </c>
      <c r="K458">
        <v>10</v>
      </c>
      <c r="L458" t="s">
        <v>107</v>
      </c>
    </row>
    <row r="459" spans="1:12" ht="15" x14ac:dyDescent="0.25">
      <c r="A459" s="5">
        <v>45755</v>
      </c>
      <c r="B459" t="s">
        <v>59</v>
      </c>
      <c r="C459">
        <v>3.375</v>
      </c>
      <c r="D459" s="5">
        <v>49415</v>
      </c>
      <c r="E459">
        <v>10</v>
      </c>
      <c r="F459" t="s">
        <v>76</v>
      </c>
      <c r="G459">
        <v>25000000</v>
      </c>
      <c r="H459">
        <v>0.55000000000000004</v>
      </c>
      <c r="I459">
        <f t="shared" si="10"/>
        <v>3.1398000000000001</v>
      </c>
      <c r="J459" t="s">
        <v>96</v>
      </c>
      <c r="K459">
        <v>10</v>
      </c>
      <c r="L459" t="s">
        <v>108</v>
      </c>
    </row>
    <row r="460" spans="1:12" ht="15" x14ac:dyDescent="0.25">
      <c r="A460" s="5">
        <v>45755</v>
      </c>
      <c r="B460" t="s">
        <v>59</v>
      </c>
      <c r="C460">
        <v>3.375</v>
      </c>
      <c r="D460" s="5">
        <v>49415</v>
      </c>
      <c r="E460">
        <v>10</v>
      </c>
      <c r="F460" t="s">
        <v>76</v>
      </c>
      <c r="G460">
        <v>25000000</v>
      </c>
      <c r="H460">
        <v>0.72</v>
      </c>
      <c r="I460">
        <f t="shared" si="10"/>
        <v>3.3098000000000001</v>
      </c>
      <c r="J460" t="s">
        <v>97</v>
      </c>
      <c r="K460">
        <v>10</v>
      </c>
      <c r="L460" t="s">
        <v>109</v>
      </c>
    </row>
    <row r="461" spans="1:12" ht="15" x14ac:dyDescent="0.25">
      <c r="A461" s="5">
        <v>45755</v>
      </c>
      <c r="B461" t="s">
        <v>31</v>
      </c>
      <c r="C461">
        <v>3.22</v>
      </c>
      <c r="D461" s="5">
        <v>49423</v>
      </c>
      <c r="E461">
        <v>10</v>
      </c>
      <c r="F461" t="s">
        <v>76</v>
      </c>
      <c r="G461">
        <v>24000000</v>
      </c>
      <c r="H461">
        <v>0.55000000000000004</v>
      </c>
      <c r="I461">
        <f t="shared" si="10"/>
        <v>3.1398000000000001</v>
      </c>
      <c r="J461" t="s">
        <v>95</v>
      </c>
      <c r="K461">
        <v>10</v>
      </c>
      <c r="L461" t="s">
        <v>107</v>
      </c>
    </row>
    <row r="462" spans="1:12" ht="15" x14ac:dyDescent="0.25">
      <c r="A462" s="5">
        <v>45755</v>
      </c>
      <c r="B462" t="s">
        <v>31</v>
      </c>
      <c r="C462">
        <v>3.22</v>
      </c>
      <c r="D462" s="5">
        <v>49423</v>
      </c>
      <c r="E462">
        <v>10</v>
      </c>
      <c r="F462" t="s">
        <v>76</v>
      </c>
      <c r="G462">
        <v>24000000</v>
      </c>
      <c r="H462">
        <v>0.55000000000000004</v>
      </c>
      <c r="I462">
        <f t="shared" si="10"/>
        <v>3.1398000000000001</v>
      </c>
      <c r="J462" t="s">
        <v>96</v>
      </c>
      <c r="K462">
        <v>10</v>
      </c>
      <c r="L462" t="s">
        <v>108</v>
      </c>
    </row>
    <row r="463" spans="1:12" ht="15" x14ac:dyDescent="0.25">
      <c r="A463" s="5">
        <v>45755</v>
      </c>
      <c r="B463" t="s">
        <v>31</v>
      </c>
      <c r="C463">
        <v>3.22</v>
      </c>
      <c r="D463" s="5">
        <v>49423</v>
      </c>
      <c r="E463">
        <v>10</v>
      </c>
      <c r="F463" t="s">
        <v>76</v>
      </c>
      <c r="G463">
        <v>24000000</v>
      </c>
      <c r="H463">
        <v>0.72</v>
      </c>
      <c r="I463">
        <f t="shared" ref="I463:I466" si="11">H463+2.5898</f>
        <v>3.3098000000000001</v>
      </c>
      <c r="J463" t="s">
        <v>97</v>
      </c>
      <c r="K463">
        <v>10</v>
      </c>
      <c r="L463" t="s">
        <v>109</v>
      </c>
    </row>
    <row r="464" spans="1:12" ht="15" x14ac:dyDescent="0.25">
      <c r="A464" s="5">
        <v>45750</v>
      </c>
      <c r="B464" t="s">
        <v>65</v>
      </c>
      <c r="C464">
        <v>2.875</v>
      </c>
      <c r="D464" s="5">
        <v>49409</v>
      </c>
      <c r="E464">
        <v>10</v>
      </c>
      <c r="F464" t="s">
        <v>76</v>
      </c>
      <c r="G464">
        <v>625000000</v>
      </c>
      <c r="H464">
        <v>0.55000000000000004</v>
      </c>
      <c r="I464">
        <f t="shared" si="11"/>
        <v>3.1398000000000001</v>
      </c>
      <c r="J464" t="s">
        <v>95</v>
      </c>
      <c r="K464">
        <v>10</v>
      </c>
      <c r="L464" t="s">
        <v>107</v>
      </c>
    </row>
    <row r="465" spans="1:12" ht="15" x14ac:dyDescent="0.25">
      <c r="A465" s="5">
        <v>45750</v>
      </c>
      <c r="B465" t="s">
        <v>65</v>
      </c>
      <c r="C465">
        <v>2.875</v>
      </c>
      <c r="D465" s="5">
        <v>49409</v>
      </c>
      <c r="E465">
        <v>10</v>
      </c>
      <c r="F465" t="s">
        <v>76</v>
      </c>
      <c r="G465">
        <v>625000000</v>
      </c>
      <c r="H465">
        <v>0.55000000000000004</v>
      </c>
      <c r="I465">
        <f t="shared" si="11"/>
        <v>3.1398000000000001</v>
      </c>
      <c r="J465" t="s">
        <v>96</v>
      </c>
      <c r="K465">
        <v>10</v>
      </c>
      <c r="L465" t="s">
        <v>108</v>
      </c>
    </row>
    <row r="466" spans="1:12" ht="15" x14ac:dyDescent="0.25">
      <c r="A466" s="5">
        <v>45750</v>
      </c>
      <c r="B466" t="s">
        <v>65</v>
      </c>
      <c r="C466">
        <v>2.875</v>
      </c>
      <c r="D466" s="5">
        <v>49409</v>
      </c>
      <c r="E466">
        <v>10</v>
      </c>
      <c r="F466" t="s">
        <v>76</v>
      </c>
      <c r="G466">
        <v>625000000</v>
      </c>
      <c r="H466">
        <v>0.72</v>
      </c>
      <c r="I466">
        <f t="shared" si="11"/>
        <v>3.3098000000000001</v>
      </c>
      <c r="J466" t="s">
        <v>97</v>
      </c>
      <c r="K466">
        <v>10</v>
      </c>
      <c r="L466" t="s">
        <v>109</v>
      </c>
    </row>
    <row r="467" spans="1:12" ht="15" x14ac:dyDescent="0.25">
      <c r="A467" s="5"/>
    </row>
  </sheetData>
  <sortState xmlns:xlrd2="http://schemas.microsoft.com/office/spreadsheetml/2017/richdata2" ref="A2:L467">
    <sortCondition ref="E2:E467"/>
  </sortState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Puzikov, Denis</cp:lastModifiedBy>
  <dcterms:created xsi:type="dcterms:W3CDTF">2025-06-09T15:35:21Z</dcterms:created>
  <dcterms:modified xsi:type="dcterms:W3CDTF">2025-06-18T12:18:52Z</dcterms:modified>
</cp:coreProperties>
</file>